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3"/>
  </bookViews>
  <sheets>
    <sheet name="Sales Movement Register-Jan-26" sheetId="1" r:id="rId1" state="hidden"/>
    <sheet name="Sales Movement Register-feb-26" sheetId="2" r:id="rId2" state="hidden"/>
    <sheet name="Sales Movement Register-Mar-26" sheetId="3" r:id="rId3" state="hidden"/>
    <sheet name="Sales Movement Register-Apr-26" sheetId="4" r:id="rId4"/>
    <sheet name="Sheet2" sheetId="5" r:id="rId5"/>
    <sheet name="Sheet3" sheetId="6" r:id="rId6"/>
  </sheets>
  <definedNames>
    <definedName name="_xlnm._FilterDatabase" localSheetId="1" hidden="1">'Sales Movement Register-feb-26'!$A$1:$P$35</definedName>
    <definedName name="_xlnm._FilterDatabase" localSheetId="2" hidden="1">'Sales Movement Register-Mar-26'!$A$1:$P$38</definedName>
    <definedName name="_xlnm._FilterDatabase" localSheetId="3" hidden="1">'Sales Movement Register-Apr-26'!$A$1:$P$38</definedName>
  </definedNames>
  <calcPr calcId="114210"/>
</workbook>
</file>

<file path=xl/sharedStrings.xml><?xml version="1.0" encoding="utf-8"?>
<sst xmlns="http://schemas.openxmlformats.org/spreadsheetml/2006/main" uniqueCount="83" count="83">
  <si>
    <t>Dear Sir,</t>
  </si>
  <si>
    <t xml:space="preserve">Assalamualaikum </t>
  </si>
  <si>
    <t xml:space="preserve">*Half Summary* </t>
  </si>
  <si>
    <t>Date☞31/12/2025</t>
  </si>
  <si>
    <t xml:space="preserve">Today's Route☞Puraton Bazar </t>
  </si>
  <si>
    <t>Visit. Outlet Qty☞68</t>
  </si>
  <si>
    <t>Memo Qty☞22</t>
  </si>
  <si>
    <t>Strike Rate%☞00%</t>
  </si>
  <si>
    <t xml:space="preserve">Today's RDT (Target)☞20000 Tk </t>
  </si>
  <si>
    <t xml:space="preserve">Today's Order☞6203Tk </t>
  </si>
  <si>
    <t>*Category Report in CTN Today Order*</t>
  </si>
  <si>
    <t>Biscuit ☞32Ctn</t>
  </si>
  <si>
    <t>Wafer☞ 0</t>
  </si>
  <si>
    <t>Snacks ☞0p</t>
  </si>
  <si>
    <t>Candy ☞0</t>
  </si>
  <si>
    <t>*Top 10 product Order*</t>
  </si>
  <si>
    <t xml:space="preserve">1. S.Crush All ☞7Ctn </t>
  </si>
  <si>
    <t>2. Potatoz 13g ☞01ctn</t>
  </si>
  <si>
    <t>3. Pinapple 17g☞3ctn</t>
  </si>
  <si>
    <t>4. Lexus 15g ☞01ctn</t>
  </si>
  <si>
    <t>5. Energy 40g☞01 ctn</t>
  </si>
  <si>
    <t>6. Coconut All☞01ctn</t>
  </si>
  <si>
    <t>7. Orangy 38g☞02ctn</t>
  </si>
  <si>
    <t>8. Crispy 10g☞0jar</t>
  </si>
  <si>
    <t>9. Molding 30g☞0box</t>
  </si>
  <si>
    <t>10. Coffee Condy☞0</t>
  </si>
  <si>
    <t xml:space="preserve">Thanks      </t>
  </si>
  <si>
    <t xml:space="preserve"> SR☞Rubel</t>
  </si>
  <si>
    <t>Area☞Birampur</t>
  </si>
  <si>
    <r>
      <rPr>
        <b/>
        <sz val="40"/>
        <rFont val="Arial"/>
      </rPr>
      <t>MGI Movement Register (PL-G-Biscuit)</t>
    </r>
  </si>
  <si>
    <r>
      <rPr>
        <sz val="11"/>
        <rFont val="Arial"/>
      </rPr>
      <t xml:space="preserve">SR Name: Md. Masum Parvez </t>
    </r>
  </si>
  <si>
    <r>
      <rPr>
        <sz val="11"/>
        <rFont val="Arial"/>
      </rPr>
      <t xml:space="preserve">DB Name: Sarkar Traders </t>
    </r>
  </si>
  <si>
    <r>
      <rPr>
        <sz val="11"/>
        <rFont val="Arial"/>
      </rPr>
      <t xml:space="preserve">Territory : Dinajpur </t>
    </r>
  </si>
  <si>
    <r>
      <rPr>
        <sz val="11"/>
        <rFont val="Arial"/>
      </rPr>
      <t xml:space="preserve">Region: Dinajpur </t>
    </r>
  </si>
  <si>
    <r>
      <rPr>
        <sz val="11"/>
        <rFont val="Arial"/>
      </rPr>
      <t>Date</t>
    </r>
  </si>
  <si>
    <r>
      <rPr>
        <sz val="11"/>
        <rFont val="Arial"/>
      </rPr>
      <t xml:space="preserve">Route 
Name
</t>
    </r>
  </si>
  <si>
    <r>
      <rPr>
        <sz val="11"/>
        <rFont val="Arial"/>
      </rPr>
      <t>Total 
Outlet</t>
    </r>
  </si>
  <si>
    <r>
      <rPr>
        <sz val="11"/>
        <rFont val="Arial"/>
      </rPr>
      <t xml:space="preserve">Todays
Target </t>
    </r>
  </si>
  <si>
    <r>
      <rPr>
        <sz val="11"/>
        <rFont val="Arial"/>
      </rPr>
      <t>Today's 
Order</t>
    </r>
  </si>
  <si>
    <r>
      <rPr>
        <sz val="11"/>
        <rFont val="Arial"/>
      </rPr>
      <t>Total 
Memo</t>
    </r>
  </si>
  <si>
    <r>
      <rPr>
        <sz val="11"/>
        <rFont val="Arial"/>
      </rPr>
      <t>Strike 
Rate %</t>
    </r>
  </si>
  <si>
    <r>
      <rPr>
        <sz val="11"/>
        <rFont val="Arial"/>
      </rPr>
      <t>LPC
%</t>
    </r>
  </si>
  <si>
    <r>
      <rPr>
        <sz val="11"/>
        <rFont val="Arial"/>
      </rPr>
      <t>IMS</t>
    </r>
  </si>
  <si>
    <r>
      <rPr>
        <sz val="11"/>
        <rFont val="Arial"/>
      </rPr>
      <t>N.Exe.
Value</t>
    </r>
  </si>
  <si>
    <r>
      <rPr>
        <sz val="11"/>
        <rFont val="Arial"/>
      </rPr>
      <t>Non
Exe.%</t>
    </r>
  </si>
  <si>
    <r>
      <rPr>
        <sz val="11"/>
        <rFont val="Arial"/>
      </rPr>
      <t xml:space="preserve">C.N.EX.
Value  </t>
    </r>
  </si>
  <si>
    <r>
      <rPr>
        <sz val="11"/>
        <rFont val="Arial"/>
      </rPr>
      <t>Landing Value</t>
    </r>
  </si>
  <si>
    <r>
      <rPr>
        <sz val="11"/>
        <rFont val="Arial"/>
      </rPr>
      <t>Landing %</t>
    </r>
  </si>
  <si>
    <r>
      <rPr>
        <sz val="11"/>
        <rFont val="Arial"/>
      </rPr>
      <t>Today</t>
    </r>
  </si>
  <si>
    <r>
      <rPr>
        <sz val="11"/>
        <rFont val="Arial"/>
      </rPr>
      <t>CIMS</t>
    </r>
  </si>
  <si>
    <r>
      <rPr>
        <sz val="11"/>
        <rFont val="Arial"/>
      </rPr>
      <t>CIMS%</t>
    </r>
  </si>
  <si>
    <r>
      <rPr>
        <sz val="11"/>
        <rFont val="Arial"/>
      </rPr>
      <t>Kachdaho</t>
    </r>
  </si>
  <si>
    <r>
      <rPr>
        <sz val="11"/>
        <rFont val="Arial"/>
      </rPr>
      <t>Ketra</t>
    </r>
  </si>
  <si>
    <r>
      <rPr>
        <sz val="11"/>
        <rFont val="Arial"/>
      </rPr>
      <t xml:space="preserve">Puraton Bazar </t>
    </r>
  </si>
  <si>
    <r>
      <rPr>
        <sz val="11"/>
        <rFont val="Arial"/>
      </rPr>
      <t xml:space="preserve">College Bazar </t>
    </r>
  </si>
  <si>
    <r>
      <rPr>
        <sz val="11"/>
        <rFont val="Arial"/>
      </rPr>
      <t>Joynogor</t>
    </r>
  </si>
  <si>
    <r>
      <rPr>
        <sz val="11"/>
        <rFont val="Arial"/>
      </rPr>
      <t xml:space="preserve">Beparitola </t>
    </r>
  </si>
  <si>
    <r>
      <rPr>
        <sz val="11"/>
        <rFont val="Arial"/>
      </rPr>
      <t>Kachdaho</t>
    </r>
  </si>
  <si>
    <r>
      <rPr>
        <sz val="11"/>
        <rFont val="Arial"/>
      </rPr>
      <t>Ketra</t>
    </r>
  </si>
  <si>
    <r>
      <rPr>
        <sz val="11"/>
        <rFont val="Arial"/>
      </rPr>
      <t xml:space="preserve">Puraton Bazar </t>
    </r>
  </si>
  <si>
    <r>
      <rPr>
        <sz val="11"/>
        <rFont val="Arial"/>
      </rPr>
      <t xml:space="preserve">College Bazar </t>
    </r>
  </si>
  <si>
    <r>
      <rPr>
        <sz val="11"/>
        <rFont val="Arial"/>
      </rPr>
      <t>Joynogor</t>
    </r>
  </si>
  <si>
    <r>
      <rPr>
        <sz val="11"/>
        <rFont val="Arial"/>
      </rPr>
      <t xml:space="preserve">Beparitola </t>
    </r>
  </si>
  <si>
    <r>
      <rPr>
        <sz val="11"/>
        <rFont val="Arial"/>
      </rPr>
      <t>Kachdaho</t>
    </r>
  </si>
  <si>
    <r>
      <rPr>
        <sz val="11"/>
        <rFont val="Arial"/>
      </rPr>
      <t>Ketra</t>
    </r>
  </si>
  <si>
    <r>
      <rPr>
        <sz val="11"/>
        <rFont val="Arial"/>
      </rPr>
      <t xml:space="preserve">Puraton Bazar </t>
    </r>
  </si>
  <si>
    <r>
      <rPr>
        <sz val="11"/>
        <rFont val="Arial"/>
      </rPr>
      <t xml:space="preserve">College Bazar </t>
    </r>
  </si>
  <si>
    <r>
      <rPr>
        <sz val="11"/>
        <rFont val="Arial"/>
      </rPr>
      <t>Joynogor</t>
    </r>
  </si>
  <si>
    <r>
      <rPr>
        <sz val="11"/>
        <rFont val="Arial"/>
      </rPr>
      <t xml:space="preserve">Beparitola </t>
    </r>
  </si>
  <si>
    <r>
      <rPr>
        <sz val="11"/>
        <rFont val="Arial"/>
      </rPr>
      <t>Kachdaho</t>
    </r>
  </si>
  <si>
    <r>
      <rPr>
        <sz val="11"/>
        <rFont val="Arial"/>
      </rPr>
      <t>Ketra</t>
    </r>
  </si>
  <si>
    <r>
      <rPr>
        <sz val="11"/>
        <rFont val="Arial"/>
      </rPr>
      <t xml:space="preserve">Puraton Bazar </t>
    </r>
  </si>
  <si>
    <r>
      <rPr>
        <sz val="11"/>
        <rFont val="Arial"/>
      </rPr>
      <t xml:space="preserve">College Bazar </t>
    </r>
  </si>
  <si>
    <r>
      <rPr>
        <sz val="11"/>
        <rFont val="Arial"/>
      </rPr>
      <t>Joynogor</t>
    </r>
  </si>
  <si>
    <r>
      <rPr>
        <sz val="11"/>
        <rFont val="Arial"/>
      </rPr>
      <t xml:space="preserve">Beparitola </t>
    </r>
  </si>
  <si>
    <r>
      <rPr>
        <sz val="11"/>
        <rFont val="Arial"/>
      </rPr>
      <t>Kachdaho</t>
    </r>
  </si>
  <si>
    <r>
      <rPr>
        <sz val="11"/>
        <rFont val="Arial"/>
      </rPr>
      <t>Ketra</t>
    </r>
  </si>
  <si>
    <r>
      <rPr>
        <sz val="11"/>
        <rFont val="Arial"/>
      </rPr>
      <t xml:space="preserve">Puraton Bazar </t>
    </r>
  </si>
  <si>
    <r>
      <rPr>
        <sz val="11"/>
        <rFont val="Arial"/>
      </rPr>
      <t>Total</t>
    </r>
  </si>
  <si>
    <t xml:space="preserve">College Bazar </t>
  </si>
  <si>
    <t>College Bazar</t>
  </si>
  <si>
    <t xml:space="preserve">Joynogor </t>
  </si>
  <si>
    <t>=</t>
  </si>
</sst>
</file>

<file path=xl/styles.xml><?xml version="1.0" encoding="utf-8"?>
<styleSheet xmlns="http://schemas.openxmlformats.org/spreadsheetml/2006/main">
  <numFmts count="4">
    <numFmt numFmtId="0" formatCode="General"/>
    <numFmt numFmtId="9" formatCode="0%"/>
    <numFmt numFmtId="2" formatCode="0.00"/>
    <numFmt numFmtId="1" formatCode="0"/>
  </numFmts>
  <fonts count="9">
    <font>
      <name val="Arial"/>
      <sz val="11"/>
    </font>
    <font>
      <name val="Arial"/>
      <b/>
      <sz val="40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  <font>
      <name val="Arial"/>
      <sz val="11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>
      <alignment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left" vertical="center"/>
    </xf>
    <xf numFmtId="0" fontId="3" fillId="0" borderId="3" xfId="0" applyNumberFormat="1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right" vertical="center"/>
    </xf>
    <xf numFmtId="0" fontId="2" fillId="2" borderId="4" xfId="0" applyNumberFormat="1" applyFont="1" applyFill="1" applyBorder="1" applyAlignment="1">
      <alignment horizontal="right" vertical="center"/>
    </xf>
    <xf numFmtId="9" fontId="2" fillId="0" borderId="1" xfId="0" applyNumberFormat="1" applyFont="1" applyFill="1" applyBorder="1">
      <alignment vertical="center"/>
    </xf>
    <xf numFmtId="2" fontId="2" fillId="2" borderId="1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>
      <alignment vertical="center"/>
    </xf>
    <xf numFmtId="9" fontId="2" fillId="0" borderId="2" xfId="0" applyNumberFormat="1" applyFont="1" applyFill="1" applyBorder="1">
      <alignment vertical="center"/>
    </xf>
    <xf numFmtId="0" fontId="2" fillId="0" borderId="2" xfId="0" applyNumberFormat="1" applyFont="1" applyFill="1" applyBorder="1">
      <alignment vertical="center"/>
    </xf>
    <xf numFmtId="0" fontId="2" fillId="0" borderId="4" xfId="0" applyNumberFormat="1" applyFont="1" applyFill="1" applyBorder="1">
      <alignment vertical="center"/>
    </xf>
    <xf numFmtId="1" fontId="2" fillId="0" borderId="2" xfId="0" applyNumberFormat="1" applyFont="1" applyFill="1" applyBorder="1">
      <alignment vertical="center"/>
    </xf>
    <xf numFmtId="2" fontId="2" fillId="0" borderId="1" xfId="0" applyNumberFormat="1" applyFont="1" applyFill="1" applyBorder="1">
      <alignment vertical="center"/>
    </xf>
    <xf numFmtId="2" fontId="4" fillId="0" borderId="1" xfId="0" applyNumberFormat="1" applyFont="1" applyFill="1" applyBorder="1">
      <alignment vertical="center"/>
    </xf>
    <xf numFmtId="2" fontId="2" fillId="0" borderId="2" xfId="0" applyNumberFormat="1" applyFont="1" applyFill="1" applyBorder="1">
      <alignment vertical="center"/>
    </xf>
    <xf numFmtId="0" fontId="2" fillId="0" borderId="5" xfId="0" applyNumberFormat="1" applyFont="1" applyFill="1" applyBorder="1">
      <alignment vertical="center"/>
    </xf>
    <xf numFmtId="2" fontId="5" fillId="0" borderId="2" xfId="0" applyNumberFormat="1" applyFont="1" applyFill="1" applyBorder="1">
      <alignment vertical="center"/>
    </xf>
    <xf numFmtId="0" fontId="2" fillId="0" borderId="6" xfId="0" applyNumberFormat="1" applyFont="1" applyFill="1" applyBorder="1">
      <alignment vertical="center"/>
    </xf>
    <xf numFmtId="2" fontId="6" fillId="0" borderId="2" xfId="0" applyNumberFormat="1" applyFont="1" applyFill="1" applyBorder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>
      <alignment vertical="center"/>
    </xf>
    <xf numFmtId="9" fontId="8" fillId="0" borderId="0" xfId="0" applyNumberFormat="1">
      <alignment vertical="center"/>
    </xf>
    <xf numFmtId="0" fontId="7" fillId="0" borderId="6" xfId="0" applyNumberFormat="1" applyFont="1" applyFill="1" applyBorder="1">
      <alignment vertical="center"/>
    </xf>
    <xf numFmtId="0" fontId="7" fillId="0" borderId="2" xfId="0" applyNumberFormat="1" applyFont="1" applyFill="1" applyBorder="1">
      <alignment vertical="center"/>
    </xf>
    <xf numFmtId="0" fontId="7" fillId="0" borderId="7" xfId="0" applyNumberFormat="1" applyFont="1" applyFill="1" applyBorder="1">
      <alignment vertical="center"/>
    </xf>
    <xf numFmtId="0" fontId="7" fillId="0" borderId="8" xfId="0" applyNumberFormat="1" applyFont="1" applyFill="1" applyBorder="1">
      <alignment vertical="center"/>
    </xf>
    <xf numFmtId="0" fontId="7" fillId="0" borderId="0" xfId="0" applyNumberFormat="1" applyFont="1" applyFill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M52"/>
  <sheetViews>
    <sheetView workbookViewId="0" zoomScale="70">
      <pane xSplit="2" ySplit="6" topLeftCell="C7" state="frozen" activePane="bottomRight"/>
      <selection pane="bottomRight" activeCell="H37" sqref="H37"/>
    </sheetView>
  </sheetViews>
  <sheetFormatPr defaultRowHeight="14.25" defaultColWidth="10"/>
  <cols>
    <col min="3" max="3" customWidth="1" width="10.214844" style="0"/>
    <col min="8" max="8" customWidth="1" width="9.0" style="0"/>
    <col min="15" max="15" customWidth="1" bestFit="1" width="10.8984375" style="0"/>
  </cols>
  <sheetData>
    <row r="1" spans="8:8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spans="8: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 spans="8: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</row>
    <row r="4" spans="8:8">
      <c r="A4" s="3" t="s">
        <v>30</v>
      </c>
      <c r="B4" s="3"/>
      <c r="C4" s="3" t="s">
        <v>31</v>
      </c>
      <c r="D4" s="3"/>
      <c r="E4" s="3"/>
      <c r="F4" s="3"/>
      <c r="G4" s="3"/>
      <c r="H4" s="3" t="s">
        <v>32</v>
      </c>
      <c r="I4" s="3"/>
      <c r="J4" s="3"/>
      <c r="K4" s="3"/>
      <c r="L4" s="3" t="s">
        <v>33</v>
      </c>
      <c r="M4" s="3"/>
      <c r="N4" s="3"/>
      <c r="O4" s="2"/>
      <c r="P4" s="2"/>
    </row>
    <row r="5" spans="8:8" ht="25.5">
      <c r="A5" s="4" t="s">
        <v>34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/>
      <c r="K5" s="5"/>
      <c r="L5" s="5" t="s">
        <v>43</v>
      </c>
      <c r="M5" s="5" t="s">
        <v>44</v>
      </c>
      <c r="N5" s="5" t="s">
        <v>45</v>
      </c>
      <c r="O5" s="6" t="s">
        <v>46</v>
      </c>
      <c r="P5" s="4" t="s">
        <v>47</v>
      </c>
    </row>
    <row r="6" spans="8:8">
      <c r="A6" s="4"/>
      <c r="B6" s="5"/>
      <c r="C6" s="5"/>
      <c r="D6" s="5"/>
      <c r="E6" s="5"/>
      <c r="F6" s="5"/>
      <c r="G6" s="5"/>
      <c r="H6" s="5"/>
      <c r="I6" s="4" t="s">
        <v>48</v>
      </c>
      <c r="J6" s="4" t="s">
        <v>49</v>
      </c>
      <c r="K6" s="4" t="s">
        <v>50</v>
      </c>
      <c r="L6" s="5"/>
      <c r="M6" s="5"/>
      <c r="N6" s="5"/>
      <c r="O6" s="6"/>
      <c r="P6" s="4"/>
    </row>
    <row r="7" spans="8:8" ht="15.05">
      <c r="A7" s="7">
        <f>IF(B7="","",ROW(1:3))</f>
        <v>1.0</v>
      </c>
      <c r="B7" s="8" t="s">
        <v>80</v>
      </c>
      <c r="C7" s="9">
        <v>68.0</v>
      </c>
      <c r="D7" s="10">
        <v>20000.0</v>
      </c>
      <c r="E7" s="9">
        <v>15386.0</v>
      </c>
      <c r="F7" s="9">
        <v>45.0</v>
      </c>
      <c r="G7" s="11">
        <f>F7/C7</f>
        <v>0.6617647058823529</v>
      </c>
      <c r="H7" s="12">
        <f>102/F7</f>
        <v>2.2666666666666666</v>
      </c>
      <c r="I7" s="9">
        <v>7038.0</v>
      </c>
      <c r="J7" s="13">
        <f>I7</f>
        <v>7038.0</v>
      </c>
      <c r="K7" s="14">
        <f>J7/488521</f>
        <v>0.014406750170412326</v>
      </c>
      <c r="L7" s="13">
        <f>10025-I7</f>
        <v>2987.0</v>
      </c>
      <c r="M7" s="11">
        <f>L7/10025</f>
        <v>0.29795511221945137</v>
      </c>
      <c r="N7" s="13">
        <f>L7</f>
        <v>2987.0</v>
      </c>
      <c r="O7" s="15">
        <f>J7/1*26</f>
        <v>182988.0</v>
      </c>
      <c r="P7" s="11">
        <f>J7/1*26/488521</f>
        <v>0.37457550443072046</v>
      </c>
    </row>
    <row r="8" spans="8:8" ht="14.95">
      <c r="A8" s="7" t="str">
        <f>IF(B8="","",ROW(2:4))</f>
        <v/>
      </c>
      <c r="B8" s="15"/>
      <c r="C8" s="13"/>
      <c r="D8" s="16"/>
      <c r="E8" s="13"/>
      <c r="F8" s="13"/>
      <c r="G8" s="11"/>
      <c r="H8" s="13"/>
      <c r="I8" s="13"/>
      <c r="J8" s="15"/>
      <c r="K8" s="14"/>
      <c r="L8" s="13"/>
      <c r="M8" s="11"/>
      <c r="N8" s="13"/>
      <c r="O8" s="17"/>
      <c r="P8" s="11"/>
    </row>
    <row r="9" spans="8:8" ht="15.05">
      <c r="A9" s="7">
        <f>IF(B9="","",ROW(3:5))</f>
        <v>3.0</v>
      </c>
      <c r="B9" s="8" t="s">
        <v>55</v>
      </c>
      <c r="C9" s="9">
        <v>85.0</v>
      </c>
      <c r="D9" s="10">
        <v>30000.0</v>
      </c>
      <c r="E9" s="9">
        <v>22002.0</v>
      </c>
      <c r="F9" s="9">
        <v>60.0</v>
      </c>
      <c r="G9" s="11">
        <f>F9/C9</f>
        <v>0.7058823529411765</v>
      </c>
      <c r="H9" s="18">
        <f>131/F9</f>
        <v>2.183333333333333</v>
      </c>
      <c r="I9" s="13">
        <v>12815.0</v>
      </c>
      <c r="J9" s="15">
        <f>I9+J7</f>
        <v>19853.0</v>
      </c>
      <c r="K9" s="14">
        <f>J9/488521</f>
        <v>0.040638989930832044</v>
      </c>
      <c r="L9" s="13">
        <f>E7-I9</f>
        <v>2571.0</v>
      </c>
      <c r="M9" s="11">
        <f>L9/E7</f>
        <v>0.16709996100350968</v>
      </c>
      <c r="N9" s="13">
        <f>L9+N7</f>
        <v>5558.0</v>
      </c>
      <c r="O9" s="15">
        <f>J9/2*26</f>
        <v>258089.0</v>
      </c>
      <c r="P9" s="11">
        <f>J9/2*26/488521</f>
        <v>0.5283068691008166</v>
      </c>
    </row>
    <row r="10" spans="8:8" ht="15.05">
      <c r="A10" s="7">
        <f>IF(B10="","",ROW(4:6))</f>
        <v>4.0</v>
      </c>
      <c r="B10" s="8" t="s">
        <v>56</v>
      </c>
      <c r="C10" s="9">
        <v>72.0</v>
      </c>
      <c r="D10" s="10">
        <v>25000.0</v>
      </c>
      <c r="E10" s="9">
        <f>16667-1000</f>
        <v>15667.0</v>
      </c>
      <c r="F10" s="9">
        <v>50.0</v>
      </c>
      <c r="G10" s="11">
        <f>F10/C10</f>
        <v>0.6944444444444444</v>
      </c>
      <c r="H10" s="18">
        <f>112/F10</f>
        <v>2.24</v>
      </c>
      <c r="I10" s="9">
        <f>22024-3000</f>
        <v>19024.0</v>
      </c>
      <c r="J10" s="13">
        <f>I10+J9</f>
        <v>38877.0</v>
      </c>
      <c r="K10" s="14">
        <f>J10/488521</f>
        <v>0.07958102108200057</v>
      </c>
      <c r="L10" s="13">
        <f>E9-I10</f>
        <v>2978.0</v>
      </c>
      <c r="M10" s="11">
        <f>L10/E9</f>
        <v>0.13535133169711844</v>
      </c>
      <c r="N10" s="13">
        <f>L10+N9</f>
        <v>8536.0</v>
      </c>
      <c r="O10" s="15">
        <f>J10/3*26</f>
        <v>336934.0</v>
      </c>
      <c r="P10" s="11">
        <f>J10/3*26/488521</f>
        <v>0.6897021827106716</v>
      </c>
    </row>
    <row r="11" spans="8:8" ht="15.05">
      <c r="A11" s="7">
        <f>IF(B11="","",ROW(5:7))</f>
        <v>5.0</v>
      </c>
      <c r="B11" s="8" t="s">
        <v>57</v>
      </c>
      <c r="C11" s="9">
        <v>86.0</v>
      </c>
      <c r="D11" s="10">
        <v>30000.0</v>
      </c>
      <c r="E11" s="9">
        <f>27778-4000</f>
        <v>23778.0</v>
      </c>
      <c r="F11" s="9">
        <v>67.0</v>
      </c>
      <c r="G11" s="11">
        <f>F11/C11</f>
        <v>0.7790697674418605</v>
      </c>
      <c r="H11" s="18">
        <f>145/F11</f>
        <v>2.1641791044776117</v>
      </c>
      <c r="I11" s="9">
        <f>12478-1000</f>
        <v>11478.0</v>
      </c>
      <c r="J11" s="13">
        <f>I11+J10</f>
        <v>50355.0</v>
      </c>
      <c r="K11" s="14">
        <f>J11/488521</f>
        <v>0.10307642864892196</v>
      </c>
      <c r="L11" s="13">
        <f>E10-I11</f>
        <v>4189.0</v>
      </c>
      <c r="M11" s="11">
        <f>L11/E10</f>
        <v>0.2673772898448969</v>
      </c>
      <c r="N11" s="13">
        <f>L11+N10</f>
        <v>12725.0</v>
      </c>
      <c r="O11" s="15">
        <f>J11/4*26</f>
        <v>327307.5</v>
      </c>
      <c r="P11" s="11">
        <f>J11/4*26/488521</f>
        <v>0.6699967862179926</v>
      </c>
    </row>
    <row r="12" spans="8:8" ht="15.05">
      <c r="A12" s="7">
        <f>IF(B12="","",ROW(6:8))</f>
        <v>6.0</v>
      </c>
      <c r="B12" s="8" t="s">
        <v>58</v>
      </c>
      <c r="C12" s="9">
        <v>65.0</v>
      </c>
      <c r="D12" s="10">
        <v>20000.0</v>
      </c>
      <c r="E12" s="9">
        <f>20570-2000</f>
        <v>18570.0</v>
      </c>
      <c r="F12" s="9">
        <v>52.0</v>
      </c>
      <c r="G12" s="11">
        <f>F12/C12</f>
        <v>0.8</v>
      </c>
      <c r="H12" s="18">
        <f>113/F12</f>
        <v>2.173076923076923</v>
      </c>
      <c r="I12" s="13">
        <f>26391-7000</f>
        <v>19391.0</v>
      </c>
      <c r="J12" s="13">
        <f>I12+J11</f>
        <v>69746.0</v>
      </c>
      <c r="K12" s="14">
        <f>J12/488521</f>
        <v>0.14276970693173885</v>
      </c>
      <c r="L12" s="13">
        <f>E11-I12</f>
        <v>4387.0</v>
      </c>
      <c r="M12" s="11">
        <f>L12/E11</f>
        <v>0.18449827571704938</v>
      </c>
      <c r="N12" s="13">
        <f>L12+N11</f>
        <v>17112.0</v>
      </c>
      <c r="O12" s="15">
        <f>J12/5*26</f>
        <v>362679.2</v>
      </c>
      <c r="P12" s="11">
        <f>J12/5*26/488521</f>
        <v>0.7424024760450421</v>
      </c>
    </row>
    <row r="13" spans="8:8" ht="15.05">
      <c r="A13" s="7">
        <f>IF(B13="","",ROW(7:9))</f>
        <v>7.0</v>
      </c>
      <c r="B13" s="8" t="s">
        <v>59</v>
      </c>
      <c r="C13" s="9">
        <v>76.0</v>
      </c>
      <c r="D13" s="10">
        <v>20000.0</v>
      </c>
      <c r="E13" s="13">
        <v>15404.0</v>
      </c>
      <c r="F13" s="9">
        <v>40.0</v>
      </c>
      <c r="G13" s="11">
        <f>F13/C13</f>
        <v>0.5263157894736842</v>
      </c>
      <c r="H13" s="18">
        <f>93/F13</f>
        <v>2.325</v>
      </c>
      <c r="I13" s="9">
        <f>16936-2000</f>
        <v>14936.0</v>
      </c>
      <c r="J13" s="13">
        <f>I13+J12</f>
        <v>84682.0</v>
      </c>
      <c r="K13" s="14">
        <f>J13/488521</f>
        <v>0.17334362289440985</v>
      </c>
      <c r="L13" s="13">
        <f>E12-I13</f>
        <v>3634.0</v>
      </c>
      <c r="M13" s="11">
        <f>L13/E12</f>
        <v>0.19569197630586968</v>
      </c>
      <c r="N13" s="13">
        <f>L13+N12</f>
        <v>20746.0</v>
      </c>
      <c r="O13" s="15">
        <f>J13/6*26</f>
        <v>366955.3333333333</v>
      </c>
      <c r="P13" s="11">
        <f>J13/6*26/488521</f>
        <v>0.7511556992091094</v>
      </c>
    </row>
    <row r="14" spans="8:8" ht="15.05">
      <c r="A14" s="7">
        <f>IF(B14="","",ROW(8:10))</f>
        <v>8.0</v>
      </c>
      <c r="B14" s="8" t="s">
        <v>60</v>
      </c>
      <c r="C14" s="9">
        <v>68.0</v>
      </c>
      <c r="D14" s="10">
        <v>20000.0</v>
      </c>
      <c r="E14" s="13">
        <v>13008.0</v>
      </c>
      <c r="F14" s="9">
        <v>45.0</v>
      </c>
      <c r="G14" s="11">
        <f>F14/C14</f>
        <v>0.6617647058823529</v>
      </c>
      <c r="H14" s="18">
        <f>105/F14</f>
        <v>2.3333333333333335</v>
      </c>
      <c r="I14" s="13">
        <f>15598-2000</f>
        <v>13598.0</v>
      </c>
      <c r="J14" s="13">
        <f>I14+J13</f>
        <v>98280.0</v>
      </c>
      <c r="K14" s="14">
        <f>J14/488521</f>
        <v>0.2011786596686734</v>
      </c>
      <c r="L14" s="13">
        <f>E13-I14</f>
        <v>1806.0</v>
      </c>
      <c r="M14" s="11">
        <f>L14/E13</f>
        <v>0.11724227473383536</v>
      </c>
      <c r="N14" s="13">
        <f>L14+N13</f>
        <v>22552.0</v>
      </c>
      <c r="O14" s="15">
        <f>J14/7*26</f>
        <v>365040.0</v>
      </c>
      <c r="P14" s="11">
        <f>J14/7*26/488521</f>
        <v>0.7472350216265012</v>
      </c>
    </row>
    <row r="15" spans="8:8">
      <c r="A15" s="7" t="str">
        <f>IF(B15="","",ROW(9:11))</f>
        <v/>
      </c>
      <c r="B15" s="15"/>
      <c r="C15" s="13"/>
      <c r="D15" s="16"/>
      <c r="E15" s="13"/>
      <c r="F15" s="13"/>
      <c r="G15" s="11"/>
      <c r="H15" s="18"/>
      <c r="I15" s="13"/>
      <c r="J15" s="15"/>
      <c r="K15" s="14"/>
      <c r="L15" s="13"/>
      <c r="M15" s="11"/>
      <c r="N15" s="13"/>
      <c r="O15" s="17"/>
      <c r="P15" s="11"/>
    </row>
    <row r="16" spans="8:8" ht="15.05">
      <c r="A16" s="7">
        <f>IF(B16="","",ROW(10:12))</f>
        <v>10.0</v>
      </c>
      <c r="B16" s="8" t="s">
        <v>61</v>
      </c>
      <c r="C16" s="9">
        <v>85.0</v>
      </c>
      <c r="D16" s="10">
        <v>30000.0</v>
      </c>
      <c r="E16" s="9">
        <f>24201-3000</f>
        <v>21201.0</v>
      </c>
      <c r="F16" s="9">
        <v>52.0</v>
      </c>
      <c r="G16" s="11">
        <f>F16/C16</f>
        <v>0.611764705882353</v>
      </c>
      <c r="H16" s="18">
        <f>111/F16</f>
        <v>2.1346153846153846</v>
      </c>
      <c r="I16" s="13">
        <v>9230.0</v>
      </c>
      <c r="J16" s="15">
        <f>I16+J14</f>
        <v>107510.0</v>
      </c>
      <c r="K16" s="14">
        <f>J16/488521</f>
        <v>0.2200724226798848</v>
      </c>
      <c r="L16" s="13">
        <f>E14-I16</f>
        <v>3778.0</v>
      </c>
      <c r="M16" s="11">
        <f>L16/E14</f>
        <v>0.29043665436654365</v>
      </c>
      <c r="N16" s="13">
        <f>L16+N14</f>
        <v>26330.0</v>
      </c>
      <c r="O16" s="15">
        <f>J16/8*26</f>
        <v>349407.5</v>
      </c>
      <c r="P16" s="11">
        <f>J16/8*26/488521</f>
        <v>0.7152353737096255</v>
      </c>
    </row>
    <row r="17" spans="8:8" ht="15.05">
      <c r="A17" s="7">
        <f>IF(B17="","",ROW(11:13))</f>
        <v>11.0</v>
      </c>
      <c r="B17" s="8" t="s">
        <v>62</v>
      </c>
      <c r="C17" s="9">
        <v>72.0</v>
      </c>
      <c r="D17" s="10">
        <v>25000.0</v>
      </c>
      <c r="E17" s="9">
        <v>18091.0</v>
      </c>
      <c r="F17" s="9">
        <v>50.0</v>
      </c>
      <c r="G17" s="11">
        <f>F17/C17</f>
        <v>0.6944444444444444</v>
      </c>
      <c r="H17" s="18">
        <f>110/F17</f>
        <v>2.2</v>
      </c>
      <c r="I17" s="9">
        <f>18068-1000</f>
        <v>17068.0</v>
      </c>
      <c r="J17" s="13">
        <f>I17+J16</f>
        <v>124578.0</v>
      </c>
      <c r="K17" s="14">
        <f>J17/488521</f>
        <v>0.25501053178880745</v>
      </c>
      <c r="L17" s="13">
        <f>E16-I17</f>
        <v>4133.0</v>
      </c>
      <c r="M17" s="11">
        <f>L17/E16</f>
        <v>0.19494363473421064</v>
      </c>
      <c r="N17" s="13">
        <f>L17+N16</f>
        <v>30463.0</v>
      </c>
      <c r="O17" s="15">
        <f>J17/9*26</f>
        <v>359892.0</v>
      </c>
      <c r="P17" s="11">
        <f>J17/9*26/488521</f>
        <v>0.7366970918343326</v>
      </c>
    </row>
    <row r="18" spans="8:8" ht="15.05">
      <c r="A18" s="7">
        <f>IF(B18="","",ROW(12:14))</f>
        <v>12.0</v>
      </c>
      <c r="B18" s="8" t="s">
        <v>63</v>
      </c>
      <c r="C18" s="9">
        <v>86.0</v>
      </c>
      <c r="D18" s="10">
        <v>30000.0</v>
      </c>
      <c r="E18" s="9">
        <f>25000-3000</f>
        <v>22000.0</v>
      </c>
      <c r="F18" s="9">
        <v>65.0</v>
      </c>
      <c r="G18" s="11">
        <f>F18/C18</f>
        <v>0.7558139534883721</v>
      </c>
      <c r="H18" s="18">
        <f>142/F18</f>
        <v>2.1846153846153844</v>
      </c>
      <c r="I18" s="9">
        <v>15897.0</v>
      </c>
      <c r="J18" s="13">
        <f>I18+J17</f>
        <v>140475.0</v>
      </c>
      <c r="K18" s="14">
        <f>J18/488521</f>
        <v>0.2875516098591463</v>
      </c>
      <c r="L18" s="13">
        <f>E17-I18</f>
        <v>2194.0</v>
      </c>
      <c r="M18" s="11">
        <f>L18/E17</f>
        <v>0.12127577248355535</v>
      </c>
      <c r="N18" s="13">
        <f>L18+N17</f>
        <v>32657.0</v>
      </c>
      <c r="O18" s="15">
        <f>J18/10*26</f>
        <v>365235.0</v>
      </c>
      <c r="P18" s="11">
        <f>J18/10*26/488521</f>
        <v>0.7476341856337804</v>
      </c>
    </row>
    <row r="19" spans="8:8" ht="15.05">
      <c r="A19" s="7">
        <f>IF(B19="","",ROW(13:15))</f>
        <v>13.0</v>
      </c>
      <c r="B19" s="8" t="s">
        <v>64</v>
      </c>
      <c r="C19" s="9">
        <v>65.0</v>
      </c>
      <c r="D19" s="10">
        <v>20000.0</v>
      </c>
      <c r="E19" s="9">
        <v>16902.0</v>
      </c>
      <c r="F19" s="9">
        <v>45.0</v>
      </c>
      <c r="G19" s="11">
        <f>F19/C19</f>
        <v>0.6923076923076923</v>
      </c>
      <c r="H19" s="18">
        <f>102/F19</f>
        <v>2.2666666666666666</v>
      </c>
      <c r="I19" s="13">
        <f>22000-4000</f>
        <v>18000.0</v>
      </c>
      <c r="J19" s="13">
        <f>I19+J18</f>
        <v>158475.0</v>
      </c>
      <c r="K19" s="14">
        <f>J19/488521</f>
        <v>0.3243975182233722</v>
      </c>
      <c r="L19" s="13">
        <f>E18-I19</f>
        <v>4000.0</v>
      </c>
      <c r="M19" s="11">
        <f>L19/E18</f>
        <v>0.18181818181818182</v>
      </c>
      <c r="N19" s="13">
        <f>L19+N18</f>
        <v>36657.0</v>
      </c>
      <c r="O19" s="15">
        <f>J19/11*26</f>
        <v>374577.2727272727</v>
      </c>
      <c r="P19" s="11">
        <f>J19/11*26/488521</f>
        <v>0.7667577703461523</v>
      </c>
    </row>
    <row r="20" spans="8:8" ht="15.05">
      <c r="A20" s="7">
        <f>IF(B20="","",ROW(14:16))</f>
        <v>14.0</v>
      </c>
      <c r="B20" s="8" t="s">
        <v>65</v>
      </c>
      <c r="C20" s="9">
        <v>76.0</v>
      </c>
      <c r="D20" s="10">
        <v>20000.0</v>
      </c>
      <c r="E20" s="9">
        <v>12005.0</v>
      </c>
      <c r="F20" s="9">
        <v>40.0</v>
      </c>
      <c r="G20" s="11">
        <f>F20/C20</f>
        <v>0.5263157894736842</v>
      </c>
      <c r="H20" s="18">
        <f>92/F20</f>
        <v>2.3</v>
      </c>
      <c r="I20" s="9">
        <f>15519-3000</f>
        <v>12519.0</v>
      </c>
      <c r="J20" s="13">
        <f>I20+J19</f>
        <v>170994.0</v>
      </c>
      <c r="K20" s="14">
        <f>J20/488521</f>
        <v>0.35002384749069126</v>
      </c>
      <c r="L20" s="13">
        <f>E19-I20</f>
        <v>4383.0</v>
      </c>
      <c r="M20" s="11">
        <f>L20/E19</f>
        <v>0.25931842385516507</v>
      </c>
      <c r="N20" s="13">
        <f>L20+N19</f>
        <v>41040.0</v>
      </c>
      <c r="O20" s="15">
        <f>J20/12*26</f>
        <v>370487.0</v>
      </c>
      <c r="P20" s="11">
        <f>J20/12*26/488521</f>
        <v>0.7583850028964978</v>
      </c>
    </row>
    <row r="21" spans="8:8" ht="15.05">
      <c r="A21" s="7">
        <f>IF(B21="","",ROW(15:17))</f>
        <v>15.0</v>
      </c>
      <c r="B21" s="8" t="s">
        <v>66</v>
      </c>
      <c r="C21" s="9">
        <v>68.0</v>
      </c>
      <c r="D21" s="10">
        <v>20000.0</v>
      </c>
      <c r="E21" s="9">
        <v>15377.0</v>
      </c>
      <c r="F21" s="9">
        <v>50.0</v>
      </c>
      <c r="G21" s="11">
        <f>F21/C21</f>
        <v>0.7352941176470589</v>
      </c>
      <c r="H21" s="18">
        <f>112/F21</f>
        <v>2.24</v>
      </c>
      <c r="I21" s="9">
        <f>6010+3000</f>
        <v>9010.0</v>
      </c>
      <c r="J21" s="13">
        <f>I21+J20</f>
        <v>180004.0</v>
      </c>
      <c r="K21" s="14">
        <f>J21/488521</f>
        <v>0.36846727162189546</v>
      </c>
      <c r="L21" s="13">
        <f>E20-I21</f>
        <v>2995.0</v>
      </c>
      <c r="M21" s="11">
        <f>L21/E20</f>
        <v>0.24947938359017077</v>
      </c>
      <c r="N21" s="13">
        <f>L21+N20</f>
        <v>44035.0</v>
      </c>
      <c r="O21" s="15">
        <f>J21/13*26</f>
        <v>360008.0</v>
      </c>
      <c r="P21" s="11">
        <f>J21/13*26/488521</f>
        <v>0.7369345432437909</v>
      </c>
    </row>
    <row r="22" spans="8:8">
      <c r="A22" s="7" t="str">
        <f>IF(B22="","",ROW(16:18))</f>
        <v/>
      </c>
      <c r="B22" s="15"/>
      <c r="C22" s="13"/>
      <c r="D22" s="16"/>
      <c r="E22" s="13"/>
      <c r="F22" s="13"/>
      <c r="G22" s="11"/>
      <c r="H22" s="13"/>
      <c r="I22" s="13"/>
      <c r="J22" s="15"/>
      <c r="K22" s="14"/>
      <c r="L22" s="13"/>
      <c r="M22" s="11"/>
      <c r="N22" s="13"/>
      <c r="O22" s="17"/>
      <c r="P22" s="11"/>
    </row>
    <row r="23" spans="8:8" ht="15.05">
      <c r="A23" s="7">
        <f>IF(B23="","",ROW(17:19))</f>
        <v>17.0</v>
      </c>
      <c r="B23" s="8" t="s">
        <v>67</v>
      </c>
      <c r="C23" s="9">
        <v>85.0</v>
      </c>
      <c r="D23" s="10">
        <v>30000.0</v>
      </c>
      <c r="E23" s="9">
        <v>18085.0</v>
      </c>
      <c r="F23" s="9">
        <v>50.0</v>
      </c>
      <c r="G23" s="11">
        <f>F23/C23</f>
        <v>0.5882352941176471</v>
      </c>
      <c r="H23" s="18">
        <f>112/F23</f>
        <v>2.24</v>
      </c>
      <c r="I23" s="13">
        <f>20164-6000</f>
        <v>14164.0</v>
      </c>
      <c r="J23" s="15">
        <f>I23+J21</f>
        <v>194168.0</v>
      </c>
      <c r="K23" s="14">
        <f>J23/488521</f>
        <v>0.397460907514723</v>
      </c>
      <c r="L23" s="13">
        <f>E21-I23</f>
        <v>1213.0</v>
      </c>
      <c r="M23" s="11">
        <f>L23/E21</f>
        <v>0.07888404760356377</v>
      </c>
      <c r="N23" s="13">
        <f>L23+N21</f>
        <v>45248.0</v>
      </c>
      <c r="O23" s="15">
        <f>J23/14*26</f>
        <v>360597.71428571426</v>
      </c>
      <c r="P23" s="11">
        <f>J23/14*26/488521</f>
        <v>0.7381416853844855</v>
      </c>
    </row>
    <row r="24" spans="8:8" ht="15.05">
      <c r="A24" s="7">
        <f>IF(B24="","",ROW(18:20))</f>
        <v>18.0</v>
      </c>
      <c r="B24" s="8" t="s">
        <v>68</v>
      </c>
      <c r="C24" s="9">
        <v>72.0</v>
      </c>
      <c r="D24" s="10">
        <v>25000.0</v>
      </c>
      <c r="E24" s="9">
        <v>16530.0</v>
      </c>
      <c r="F24" s="9">
        <v>50.0</v>
      </c>
      <c r="G24" s="11">
        <f>F24/C24</f>
        <v>0.6944444444444444</v>
      </c>
      <c r="H24" s="18">
        <f>110/F24</f>
        <v>2.2</v>
      </c>
      <c r="I24" s="9">
        <f>20135-4000</f>
        <v>16135.0</v>
      </c>
      <c r="J24" s="13">
        <f>I24+J23</f>
        <v>210303.0</v>
      </c>
      <c r="K24" s="14">
        <f>J24/488521</f>
        <v>0.43048917037343326</v>
      </c>
      <c r="L24" s="13">
        <f>E23-I24</f>
        <v>1950.0</v>
      </c>
      <c r="M24" s="11">
        <f>L24/E23</f>
        <v>0.10782416367155101</v>
      </c>
      <c r="N24" s="13">
        <f>L24+N23</f>
        <v>47198.0</v>
      </c>
      <c r="O24" s="15">
        <f>J24/15*26</f>
        <v>364525.2</v>
      </c>
      <c r="P24" s="11">
        <f>J24/15*26/488521</f>
        <v>0.7461812286472844</v>
      </c>
    </row>
    <row r="25" spans="8:8" ht="15.05">
      <c r="A25" s="7">
        <f>IF(B25="","",ROW(19:21))</f>
        <v>19.0</v>
      </c>
      <c r="B25" s="8" t="s">
        <v>69</v>
      </c>
      <c r="C25" s="9">
        <v>86.0</v>
      </c>
      <c r="D25" s="10">
        <v>30000.0</v>
      </c>
      <c r="E25" s="9">
        <f>27853-7000</f>
        <v>20853.0</v>
      </c>
      <c r="F25" s="9">
        <v>70.0</v>
      </c>
      <c r="G25" s="11">
        <f>F25/C25</f>
        <v>0.813953488372093</v>
      </c>
      <c r="H25" s="18">
        <f>150/F25</f>
        <v>2.142857142857143</v>
      </c>
      <c r="I25" s="9">
        <f>16925-4000</f>
        <v>12925.0</v>
      </c>
      <c r="J25" s="13">
        <f>I25+J24</f>
        <v>223228.0</v>
      </c>
      <c r="K25" s="14">
        <f>J25/488521</f>
        <v>0.4569465795738566</v>
      </c>
      <c r="L25" s="13">
        <f>E24-I25</f>
        <v>3605.0</v>
      </c>
      <c r="M25" s="11">
        <f>L25/E24</f>
        <v>0.21808832425892316</v>
      </c>
      <c r="N25" s="13">
        <f>L25+N24</f>
        <v>50803.0</v>
      </c>
      <c r="O25" s="15">
        <f>J25/16*26</f>
        <v>362745.5</v>
      </c>
      <c r="P25" s="11">
        <f>J25/16*26/488521</f>
        <v>0.742538191807517</v>
      </c>
    </row>
    <row r="26" spans="8:8" ht="15.05">
      <c r="A26" s="7">
        <f>IF(B26="","",ROW(20:22))</f>
        <v>20.0</v>
      </c>
      <c r="B26" s="8" t="s">
        <v>70</v>
      </c>
      <c r="C26" s="9">
        <v>65.0</v>
      </c>
      <c r="D26" s="10">
        <v>20000.0</v>
      </c>
      <c r="E26" s="9">
        <v>19005.0</v>
      </c>
      <c r="F26" s="9">
        <v>50.0</v>
      </c>
      <c r="G26" s="11">
        <f>F26/C26</f>
        <v>0.7692307692307693</v>
      </c>
      <c r="H26" s="19">
        <f>110/F26</f>
        <v>2.2</v>
      </c>
      <c r="I26" s="13">
        <f>26095-9000</f>
        <v>17095.0</v>
      </c>
      <c r="J26" s="13">
        <f>I26+J25</f>
        <v>240323.0</v>
      </c>
      <c r="K26" s="14">
        <f>J26/488521</f>
        <v>0.4919399575453256</v>
      </c>
      <c r="L26" s="13">
        <f>E25-I26</f>
        <v>3758.0</v>
      </c>
      <c r="M26" s="11">
        <f>L26/E25</f>
        <v>0.18021387809907446</v>
      </c>
      <c r="N26" s="13">
        <f>L26+N25</f>
        <v>54561.0</v>
      </c>
      <c r="O26" s="15">
        <f>J26/17*26</f>
        <v>367552.82352941175</v>
      </c>
      <c r="P26" s="11">
        <f>J26/17*26/488521</f>
        <v>0.7523787585987333</v>
      </c>
    </row>
    <row r="27" spans="8:8" ht="15.05">
      <c r="A27" s="7">
        <f>IF(B27="","",ROW(21:23))</f>
        <v>21.0</v>
      </c>
      <c r="B27" s="8" t="s">
        <v>71</v>
      </c>
      <c r="C27" s="9">
        <v>76.0</v>
      </c>
      <c r="D27" s="10">
        <v>20000.0</v>
      </c>
      <c r="E27" s="9">
        <v>15408.0</v>
      </c>
      <c r="F27" s="9">
        <v>50.0</v>
      </c>
      <c r="G27" s="11">
        <f>F27/C27</f>
        <v>0.6578947368421053</v>
      </c>
      <c r="H27" s="18">
        <v>2.2</v>
      </c>
      <c r="I27" s="9">
        <v>16936.0</v>
      </c>
      <c r="J27" s="13">
        <f>I27+J26</f>
        <v>257259.0</v>
      </c>
      <c r="K27" s="14">
        <f>J27/488521</f>
        <v>0.5266078633262439</v>
      </c>
      <c r="L27" s="13">
        <f>E26-I27</f>
        <v>2069.0</v>
      </c>
      <c r="M27" s="11">
        <f>L27/E26</f>
        <v>0.10886608787161273</v>
      </c>
      <c r="N27" s="13">
        <f>L27+N26</f>
        <v>56630.0</v>
      </c>
      <c r="O27" s="15">
        <f>J27/18*26</f>
        <v>371596.3333333333</v>
      </c>
      <c r="P27" s="11">
        <f>J27/18*26/488521</f>
        <v>0.7606558025823523</v>
      </c>
    </row>
    <row r="28" spans="8:8" ht="15.05">
      <c r="A28" s="7">
        <f>IF(B28="","",ROW(22:24))</f>
        <v>22.0</v>
      </c>
      <c r="B28" s="8" t="s">
        <v>72</v>
      </c>
      <c r="C28" s="9">
        <v>68.0</v>
      </c>
      <c r="D28" s="10">
        <v>20000.0</v>
      </c>
      <c r="E28" s="13">
        <v>12239.0</v>
      </c>
      <c r="F28" s="9">
        <v>50.0</v>
      </c>
      <c r="G28" s="11">
        <f>F28/C28</f>
        <v>0.7352941176470589</v>
      </c>
      <c r="H28" s="18">
        <f>112/F28</f>
        <v>2.24</v>
      </c>
      <c r="I28" s="9">
        <v>13838.0</v>
      </c>
      <c r="J28" s="13">
        <f>I28+J27</f>
        <v>271097.0</v>
      </c>
      <c r="K28" s="14">
        <f>J28/488521</f>
        <v>0.5549341788786971</v>
      </c>
      <c r="L28" s="13">
        <f>E27-I28</f>
        <v>1570.0</v>
      </c>
      <c r="M28" s="11">
        <f>L28/E27</f>
        <v>0.1018951194184839</v>
      </c>
      <c r="N28" s="13">
        <f>L28+N27</f>
        <v>58200.0</v>
      </c>
      <c r="O28" s="15">
        <f>J28/19*26</f>
        <v>370974.84210526315</v>
      </c>
      <c r="P28" s="11">
        <f>J28/19*26/488521</f>
        <v>0.7593836132024276</v>
      </c>
    </row>
    <row r="29" spans="8:8">
      <c r="A29" s="7" t="str">
        <f>IF(B29="","",ROW(23:25))</f>
        <v/>
      </c>
      <c r="B29" s="15"/>
      <c r="C29" s="13"/>
      <c r="D29" s="16"/>
      <c r="E29" s="13"/>
      <c r="F29" s="13"/>
      <c r="G29" s="11"/>
      <c r="H29" s="15"/>
      <c r="I29" s="13"/>
      <c r="J29" s="15"/>
      <c r="K29" s="14"/>
      <c r="L29" s="13"/>
      <c r="M29" s="11"/>
      <c r="N29" s="13"/>
      <c r="O29" s="17"/>
      <c r="P29" s="11"/>
    </row>
    <row r="30" spans="8:8" ht="15.05">
      <c r="A30" s="7">
        <f>IF(B30="","",ROW(24:26))</f>
        <v>24.0</v>
      </c>
      <c r="B30" s="8" t="s">
        <v>73</v>
      </c>
      <c r="C30" s="9">
        <v>85.0</v>
      </c>
      <c r="D30" s="10">
        <v>30000.0</v>
      </c>
      <c r="E30" s="9">
        <v>20693.0</v>
      </c>
      <c r="F30" s="9">
        <v>50.0</v>
      </c>
      <c r="G30" s="11">
        <f>F30/C30</f>
        <v>0.5882352941176471</v>
      </c>
      <c r="H30" s="19">
        <f>110/F30</f>
        <v>2.2</v>
      </c>
      <c r="I30" s="13">
        <f>8243+2000</f>
        <v>10243.0</v>
      </c>
      <c r="J30" s="15">
        <f>I30+J28</f>
        <v>281340.0</v>
      </c>
      <c r="K30" s="14">
        <f>J30/488521</f>
        <v>0.5759015477328507</v>
      </c>
      <c r="L30" s="13">
        <f>E28-I30</f>
        <v>1996.0</v>
      </c>
      <c r="M30" s="11">
        <f>L30/E28</f>
        <v>0.16308521938066836</v>
      </c>
      <c r="N30" s="13">
        <f>L30+N28</f>
        <v>60196.0</v>
      </c>
      <c r="O30" s="15">
        <f>J30/20*26</f>
        <v>365742.0</v>
      </c>
      <c r="P30" s="11">
        <f>J30/20*26/488521</f>
        <v>0.7486720120527061</v>
      </c>
    </row>
    <row r="31" spans="8:8" ht="15.05">
      <c r="A31" s="7">
        <f>IF(B31="","",ROW(25:27))</f>
        <v>25.0</v>
      </c>
      <c r="B31" s="8" t="s">
        <v>74</v>
      </c>
      <c r="C31" s="9">
        <v>72.0</v>
      </c>
      <c r="D31" s="10">
        <v>25000.0</v>
      </c>
      <c r="E31" s="9">
        <v>17254.0</v>
      </c>
      <c r="F31" s="9">
        <v>50.0</v>
      </c>
      <c r="G31" s="11">
        <f>F31/C31</f>
        <v>0.6944444444444444</v>
      </c>
      <c r="H31" s="18">
        <f>112/F31</f>
        <v>2.24</v>
      </c>
      <c r="I31" s="9">
        <v>17586.0</v>
      </c>
      <c r="J31" s="13">
        <f>I31+J30</f>
        <v>298926.0</v>
      </c>
      <c r="K31" s="14">
        <f>J31/488521</f>
        <v>0.6119000002046995</v>
      </c>
      <c r="L31" s="13">
        <f>E30-I31</f>
        <v>3107.0</v>
      </c>
      <c r="M31" s="11">
        <f>L31/E30</f>
        <v>0.15014739283815784</v>
      </c>
      <c r="N31" s="13">
        <f>L31+N30</f>
        <v>63303.0</v>
      </c>
      <c r="O31" s="15">
        <f>J31/21*26</f>
        <v>370098.85714285716</v>
      </c>
      <c r="P31" s="11">
        <f>J31/21*26/488521</f>
        <v>0.7575904764439136</v>
      </c>
    </row>
    <row r="32" spans="8:8" ht="15.05">
      <c r="A32" s="7">
        <f>IF(B32="","",ROW(26:28))</f>
        <v>26.0</v>
      </c>
      <c r="B32" s="8" t="s">
        <v>75</v>
      </c>
      <c r="C32" s="9">
        <v>86.0</v>
      </c>
      <c r="D32" s="10">
        <v>30000.0</v>
      </c>
      <c r="E32" s="9">
        <v>29159.0</v>
      </c>
      <c r="F32" s="9">
        <v>75.0</v>
      </c>
      <c r="G32" s="11">
        <f>F32/C32</f>
        <v>0.872093023255814</v>
      </c>
      <c r="H32" s="15">
        <f>162/F32</f>
        <v>2.16</v>
      </c>
      <c r="I32" s="9">
        <v>13157.0</v>
      </c>
      <c r="J32" s="13">
        <f>I32+J31</f>
        <v>312083.0</v>
      </c>
      <c r="K32" s="14">
        <f>J32/488521</f>
        <v>0.6388323122240395</v>
      </c>
      <c r="L32" s="13">
        <f>E31-I32</f>
        <v>4097.0</v>
      </c>
      <c r="M32" s="11">
        <f>L32/E31</f>
        <v>0.23745218500057957</v>
      </c>
      <c r="N32" s="13">
        <f>L32+N31</f>
        <v>67400.0</v>
      </c>
      <c r="O32" s="15">
        <f>J32/22*26</f>
        <v>368825.36363636365</v>
      </c>
      <c r="P32" s="11">
        <f>J32/22*26/488521</f>
        <v>0.7549836417193194</v>
      </c>
    </row>
    <row r="33" spans="8:8" ht="15.05">
      <c r="A33" s="7">
        <f>IF(B33="","",ROW(27:29))</f>
        <v>27.0</v>
      </c>
      <c r="B33" s="8" t="s">
        <v>76</v>
      </c>
      <c r="C33" s="9">
        <v>65.0</v>
      </c>
      <c r="D33" s="10">
        <v>20000.0</v>
      </c>
      <c r="E33" s="9">
        <f>20632+5000</f>
        <v>25632.0</v>
      </c>
      <c r="F33" s="9">
        <v>54.0</v>
      </c>
      <c r="G33" s="11">
        <f>F33/C33</f>
        <v>0.8307692307692308</v>
      </c>
      <c r="H33" s="20">
        <f>115/F33</f>
        <v>2.1296296296296298</v>
      </c>
      <c r="I33" s="9">
        <v>28753.0</v>
      </c>
      <c r="J33" s="13">
        <f>I33+J32</f>
        <v>340836.0</v>
      </c>
      <c r="K33" s="14">
        <f>J33/488521</f>
        <v>0.6976895568460721</v>
      </c>
      <c r="L33" s="13">
        <f>E32-I33</f>
        <v>406.0</v>
      </c>
      <c r="M33" s="11">
        <f>L33/E32</f>
        <v>0.013923659933468226</v>
      </c>
      <c r="N33" s="13">
        <f>L33+N32</f>
        <v>67806.0</v>
      </c>
      <c r="O33" s="15">
        <f>J33/23*26</f>
        <v>385292.8695652174</v>
      </c>
      <c r="P33" s="11">
        <f>J33/23*26/488521</f>
        <v>0.7886925425216468</v>
      </c>
    </row>
    <row r="34" spans="8:8" ht="15.05">
      <c r="A34" s="7">
        <f>IF(B34="","",ROW(28:30))</f>
        <v>28.0</v>
      </c>
      <c r="B34" s="8" t="s">
        <v>77</v>
      </c>
      <c r="C34" s="9">
        <v>76.0</v>
      </c>
      <c r="D34" s="10">
        <v>20000.0</v>
      </c>
      <c r="E34" s="9">
        <f>13338+7000</f>
        <v>20338.0</v>
      </c>
      <c r="F34" s="9">
        <v>40.0</v>
      </c>
      <c r="G34" s="11">
        <f>F34/C34</f>
        <v>0.5263157894736842</v>
      </c>
      <c r="H34" s="20">
        <f>92/F34</f>
        <v>2.3</v>
      </c>
      <c r="I34" s="9">
        <f>16747+6000</f>
        <v>22747.0</v>
      </c>
      <c r="J34" s="13">
        <f>I34+J33</f>
        <v>363583.0</v>
      </c>
      <c r="K34" s="14">
        <f>J34/488521</f>
        <v>0.744252550043908</v>
      </c>
      <c r="L34" s="13">
        <f>E33-I34</f>
        <v>2885.0</v>
      </c>
      <c r="M34" s="11">
        <f>L34/E33</f>
        <v>0.11255461922596754</v>
      </c>
      <c r="N34" s="13">
        <f>L34+N33</f>
        <v>70691.0</v>
      </c>
      <c r="O34" s="15">
        <f>J34/24*26</f>
        <v>393881.5833333333</v>
      </c>
      <c r="P34" s="11">
        <f>J34/24*26/488521</f>
        <v>0.8062735958809003</v>
      </c>
    </row>
    <row r="35" spans="8:8" ht="15.05">
      <c r="A35" s="7">
        <f>IF(B35="","",ROW(29:31))</f>
        <v>29.0</v>
      </c>
      <c r="B35" s="15" t="s">
        <v>79</v>
      </c>
      <c r="C35" s="13">
        <v>68.0</v>
      </c>
      <c r="D35" s="21">
        <v>20000.0</v>
      </c>
      <c r="E35" s="13">
        <f>14296+6000</f>
        <v>20296.0</v>
      </c>
      <c r="F35" s="13">
        <v>50.0</v>
      </c>
      <c r="G35" s="11">
        <f>F35/C35</f>
        <v>0.7352941176470589</v>
      </c>
      <c r="H35" s="22">
        <f>102/F35</f>
        <v>2.04</v>
      </c>
      <c r="I35" s="23">
        <f>11658+7000</f>
        <v>18658.0</v>
      </c>
      <c r="J35" s="13">
        <f>I35+J34</f>
        <v>382241.0</v>
      </c>
      <c r="K35" s="14">
        <f>J35/488521</f>
        <v>0.7824453810583373</v>
      </c>
      <c r="L35" s="13">
        <f>E34-I35</f>
        <v>1680.0</v>
      </c>
      <c r="M35" s="11">
        <f>L35/E34</f>
        <v>0.08260399252630544</v>
      </c>
      <c r="N35" s="13">
        <f>L35+N34</f>
        <v>72371.0</v>
      </c>
      <c r="O35" s="15">
        <f>J35/25*26</f>
        <v>397530.64</v>
      </c>
      <c r="P35" s="11">
        <f>J35/25*26/488521</f>
        <v>0.8137431963006708</v>
      </c>
    </row>
    <row r="36" spans="8:8" ht="14.45" customFormat="1">
      <c r="A36" s="7" t="str">
        <f>IF(B36="","",ROW(30:32))</f>
        <v/>
      </c>
      <c r="B36" s="15"/>
      <c r="C36" s="13"/>
      <c r="D36" s="21"/>
      <c r="E36" s="13"/>
      <c r="F36" s="13"/>
      <c r="G36" s="11"/>
      <c r="H36" s="15"/>
      <c r="I36" s="23"/>
      <c r="J36" s="13"/>
      <c r="K36" s="14"/>
      <c r="L36" s="13"/>
      <c r="M36" s="13"/>
      <c r="N36" s="13"/>
      <c r="O36" s="15"/>
      <c r="P36" s="13"/>
    </row>
    <row r="37" spans="8:8" ht="15.05" customFormat="1">
      <c r="A37" s="7">
        <f>IF(B37="","",ROW(31:33))</f>
        <v>31.0</v>
      </c>
      <c r="B37" s="15" t="s">
        <v>81</v>
      </c>
      <c r="C37" s="13">
        <v>85.0</v>
      </c>
      <c r="D37" s="21">
        <v>30000.0</v>
      </c>
      <c r="E37" s="13"/>
      <c r="F37" s="13">
        <v>55.0</v>
      </c>
      <c r="G37" s="11">
        <f>F37/C37</f>
        <v>0.6470588235294118</v>
      </c>
      <c r="H37" s="24">
        <f>122/F37</f>
        <v>2.2181818181818183</v>
      </c>
      <c r="I37" s="23">
        <f>11773+7000</f>
        <v>18773.0</v>
      </c>
      <c r="J37" s="15">
        <f>I37+J35</f>
        <v>401014.0</v>
      </c>
      <c r="K37" s="14">
        <f>J37/488521</f>
        <v>0.8208736164873158</v>
      </c>
      <c r="L37" s="13">
        <f>E35-I37</f>
        <v>1523.0</v>
      </c>
      <c r="M37" s="11">
        <f>L37/E35</f>
        <v>0.07503941663381947</v>
      </c>
      <c r="N37" s="13">
        <f>L37+N35</f>
        <v>73894.0</v>
      </c>
      <c r="O37" s="15">
        <f>J37/26*26</f>
        <v>401014.0</v>
      </c>
      <c r="P37" s="11">
        <f>J37/26*26/488521</f>
        <v>0.8208736164873158</v>
      </c>
    </row>
    <row r="38" spans="8:8">
      <c r="A38" s="25" t="s">
        <v>78</v>
      </c>
      <c r="B38" s="15"/>
      <c r="C38" s="13"/>
      <c r="D38" s="16"/>
      <c r="E38" s="16"/>
      <c r="F38" s="13"/>
      <c r="G38" s="13"/>
      <c r="H38" s="15"/>
      <c r="I38" s="13"/>
      <c r="J38" s="13"/>
      <c r="K38" s="15"/>
      <c r="L38" s="13"/>
      <c r="M38" s="13"/>
      <c r="N38" s="13"/>
      <c r="O38" s="15"/>
      <c r="P38" s="13"/>
    </row>
  </sheetData>
  <mergeCells count="18">
    <mergeCell ref="A1:N3"/>
    <mergeCell ref="L4:N4"/>
    <mergeCell ref="A4:B4"/>
    <mergeCell ref="L5:L6"/>
    <mergeCell ref="P5:P6"/>
    <mergeCell ref="B5:B6"/>
    <mergeCell ref="H4:K4"/>
    <mergeCell ref="N5:N6"/>
    <mergeCell ref="M5:M6"/>
    <mergeCell ref="O5:O6"/>
    <mergeCell ref="C5:C6"/>
    <mergeCell ref="A5:A6"/>
    <mergeCell ref="I5:K5"/>
    <mergeCell ref="D5:D6"/>
    <mergeCell ref="G5:G6"/>
    <mergeCell ref="H5:H6"/>
    <mergeCell ref="F5:F6"/>
    <mergeCell ref="E5:E6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Z35"/>
  <sheetViews>
    <sheetView workbookViewId="0" zoomScale="70">
      <pane xSplit="2" ySplit="6" topLeftCell="K7" state="frozen" activePane="bottomRight"/>
      <selection pane="bottomRight" activeCell="L7" sqref="L7"/>
    </sheetView>
  </sheetViews>
  <sheetFormatPr defaultRowHeight="14.25" defaultColWidth="10"/>
  <cols>
    <col min="2" max="2" customWidth="1" width="11.3984375" style="0"/>
    <col min="3" max="3" customWidth="1" width="10.214844" style="0"/>
    <col min="8" max="8" customWidth="1" width="9.0" style="0"/>
    <col min="15" max="15" customWidth="1" bestFit="1" width="10.8984375" style="0"/>
  </cols>
  <sheetData>
    <row r="1" spans="8:8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spans="8: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 spans="8: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</row>
    <row r="4" spans="8:8">
      <c r="A4" s="3" t="s">
        <v>30</v>
      </c>
      <c r="B4" s="3"/>
      <c r="C4" s="3" t="s">
        <v>31</v>
      </c>
      <c r="D4" s="3"/>
      <c r="E4" s="3"/>
      <c r="F4" s="3"/>
      <c r="G4" s="3"/>
      <c r="H4" s="3" t="s">
        <v>32</v>
      </c>
      <c r="I4" s="3"/>
      <c r="J4" s="3"/>
      <c r="K4" s="3"/>
      <c r="L4" s="3" t="s">
        <v>33</v>
      </c>
      <c r="M4" s="3"/>
      <c r="N4" s="3"/>
      <c r="O4" s="2"/>
      <c r="P4" s="2"/>
    </row>
    <row r="5" spans="8:8" ht="25.5">
      <c r="A5" s="4" t="s">
        <v>34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/>
      <c r="K5" s="5"/>
      <c r="L5" s="5" t="s">
        <v>43</v>
      </c>
      <c r="M5" s="5" t="s">
        <v>44</v>
      </c>
      <c r="N5" s="5" t="s">
        <v>45</v>
      </c>
      <c r="O5" s="6" t="s">
        <v>46</v>
      </c>
      <c r="P5" s="4" t="s">
        <v>47</v>
      </c>
    </row>
    <row r="6" spans="8:8">
      <c r="A6" s="4"/>
      <c r="B6" s="5"/>
      <c r="C6" s="5"/>
      <c r="D6" s="5"/>
      <c r="E6" s="5"/>
      <c r="F6" s="5"/>
      <c r="G6" s="5"/>
      <c r="H6" s="5"/>
      <c r="I6" s="4" t="s">
        <v>48</v>
      </c>
      <c r="J6" s="4" t="s">
        <v>49</v>
      </c>
      <c r="K6" s="4" t="s">
        <v>50</v>
      </c>
      <c r="L6" s="5"/>
      <c r="M6" s="5"/>
      <c r="N6" s="5"/>
      <c r="O6" s="6"/>
      <c r="P6" s="4"/>
    </row>
    <row r="7" spans="8:8" ht="15.05">
      <c r="A7" s="7">
        <f>IF(B7="","",ROW(1:3))</f>
        <v>1.0</v>
      </c>
      <c r="B7" s="8" t="s">
        <v>56</v>
      </c>
      <c r="C7" s="9">
        <v>72.0</v>
      </c>
      <c r="D7" s="10">
        <v>25000.0</v>
      </c>
      <c r="E7" s="9">
        <v>17898.0</v>
      </c>
      <c r="F7" s="9">
        <v>50.0</v>
      </c>
      <c r="G7" s="11">
        <f>F7/C7</f>
        <v>0.6944444444444444</v>
      </c>
      <c r="H7" s="18">
        <f>112/F7</f>
        <v>2.24</v>
      </c>
      <c r="I7" s="9">
        <v>18808.0</v>
      </c>
      <c r="J7" s="13">
        <f>I7</f>
        <v>18808.0</v>
      </c>
      <c r="K7" s="14">
        <f>J7/350166</f>
        <v>0.05371166818023452</v>
      </c>
      <c r="L7" s="13">
        <f>21525-I7</f>
        <v>2717.0</v>
      </c>
      <c r="M7" s="11">
        <f>L7/21525</f>
        <v>0.1262253193960511</v>
      </c>
      <c r="N7" s="13">
        <f>L7</f>
        <v>2717.0</v>
      </c>
      <c r="O7" s="15">
        <f>J7/1*24</f>
        <v>451392.0</v>
      </c>
      <c r="P7" s="11">
        <f>J7/1*24/350166</f>
        <v>1.2890800363256285</v>
      </c>
    </row>
    <row r="8" spans="8:8" ht="15.05">
      <c r="A8" s="7">
        <f>IF(B8="","",ROW(2:4))</f>
        <v>2.0</v>
      </c>
      <c r="B8" s="8" t="s">
        <v>57</v>
      </c>
      <c r="C8" s="9">
        <v>86.0</v>
      </c>
      <c r="D8" s="10">
        <v>30000.0</v>
      </c>
      <c r="E8" s="9">
        <f>24830-2000</f>
        <v>22830.0</v>
      </c>
      <c r="F8" s="9">
        <v>62.0</v>
      </c>
      <c r="G8" s="11">
        <f>F8/C8</f>
        <v>0.7209302325581395</v>
      </c>
      <c r="H8" s="18">
        <f>135/F8</f>
        <v>2.1774193548387095</v>
      </c>
      <c r="I8" s="9">
        <v>14147.0</v>
      </c>
      <c r="J8" s="13">
        <f>I8+J7</f>
        <v>32955.0</v>
      </c>
      <c r="K8" s="14">
        <f>J8/350166</f>
        <v>0.09411250663970802</v>
      </c>
      <c r="L8" s="13">
        <f>E7-I8</f>
        <v>3751.0</v>
      </c>
      <c r="M8" s="11">
        <f>L8/E7</f>
        <v>0.2095764889931836</v>
      </c>
      <c r="N8" s="13">
        <f>L8+N7</f>
        <v>6468.0</v>
      </c>
      <c r="O8" s="15">
        <f>J8/2*24</f>
        <v>395460.0</v>
      </c>
      <c r="P8" s="11">
        <f>J8/2*24/350166</f>
        <v>1.1293500796764964</v>
      </c>
    </row>
    <row r="9" spans="8:8" ht="15.05">
      <c r="A9" s="7">
        <f>IF(B9="","",ROW(3:5))</f>
        <v>3.0</v>
      </c>
      <c r="B9" s="8" t="s">
        <v>58</v>
      </c>
      <c r="C9" s="9">
        <v>65.0</v>
      </c>
      <c r="D9" s="10">
        <v>20000.0</v>
      </c>
      <c r="E9" s="9">
        <v>16343.0</v>
      </c>
      <c r="F9" s="9">
        <v>50.0</v>
      </c>
      <c r="G9" s="11">
        <f>F9/C9</f>
        <v>0.7692307692307693</v>
      </c>
      <c r="H9" s="18">
        <f>113/F9</f>
        <v>2.26</v>
      </c>
      <c r="I9" s="13">
        <f>21303</f>
        <v>21303.0</v>
      </c>
      <c r="J9" s="13">
        <f>I9+J8</f>
        <v>54258.0</v>
      </c>
      <c r="K9" s="14">
        <f>J9/350166</f>
        <v>0.15494936687171226</v>
      </c>
      <c r="L9" s="13">
        <f>E8-I9</f>
        <v>1527.0</v>
      </c>
      <c r="M9" s="11">
        <f>L9/E8</f>
        <v>0.06688567674113009</v>
      </c>
      <c r="N9" s="13">
        <f>L9+N8</f>
        <v>7995.0</v>
      </c>
      <c r="O9" s="15">
        <f>J9/3*24</f>
        <v>434064.0</v>
      </c>
      <c r="P9" s="11">
        <f>J9/3*24/350166</f>
        <v>1.239594934973698</v>
      </c>
    </row>
    <row r="10" spans="8:8" ht="15.05">
      <c r="A10" s="7">
        <f>IF(B10="","",ROW(4:6))</f>
        <v>4.0</v>
      </c>
      <c r="B10" s="8" t="s">
        <v>59</v>
      </c>
      <c r="C10" s="9">
        <v>76.0</v>
      </c>
      <c r="D10" s="10">
        <v>20000.0</v>
      </c>
      <c r="E10" s="13">
        <v>14577.0</v>
      </c>
      <c r="F10" s="9">
        <v>40.0</v>
      </c>
      <c r="G10" s="11">
        <f>F10/C10</f>
        <v>0.5263157894736842</v>
      </c>
      <c r="H10" s="18">
        <f>93/F10</f>
        <v>2.325</v>
      </c>
      <c r="I10" s="9">
        <f>13000-53</f>
        <v>12947.0</v>
      </c>
      <c r="J10" s="13">
        <f>I10+J9</f>
        <v>67205.0</v>
      </c>
      <c r="K10" s="14">
        <f>J10/350166</f>
        <v>0.1919232592541823</v>
      </c>
      <c r="L10" s="13">
        <f>E9-I10</f>
        <v>3396.0</v>
      </c>
      <c r="M10" s="11">
        <f>L10/E9</f>
        <v>0.207795386403965</v>
      </c>
      <c r="N10" s="13">
        <f>L10+N9</f>
        <v>11391.0</v>
      </c>
      <c r="O10" s="15">
        <f>J10/4*24</f>
        <v>403230.0</v>
      </c>
      <c r="P10" s="11">
        <f>J10/4*24/350166</f>
        <v>1.1515395555250938</v>
      </c>
    </row>
    <row r="11" spans="8:8" ht="15.05">
      <c r="A11" s="7">
        <f>IF(B11="","",ROW(5:7))</f>
        <v>5.0</v>
      </c>
      <c r="B11" s="8" t="s">
        <v>60</v>
      </c>
      <c r="C11" s="9">
        <v>68.0</v>
      </c>
      <c r="D11" s="10">
        <v>20000.0</v>
      </c>
      <c r="E11" s="13">
        <f>14342+2000</f>
        <v>16342.0</v>
      </c>
      <c r="F11" s="9">
        <v>50.0</v>
      </c>
      <c r="G11" s="11">
        <f>F11/C11</f>
        <v>0.7352941176470589</v>
      </c>
      <c r="H11" s="18">
        <f>105/F11</f>
        <v>2.1</v>
      </c>
      <c r="I11" s="13">
        <v>12003.0</v>
      </c>
      <c r="J11" s="13">
        <f>I11+J10</f>
        <v>79208.0</v>
      </c>
      <c r="K11" s="14">
        <f>J11/350166</f>
        <v>0.2262012873894096</v>
      </c>
      <c r="L11" s="13">
        <f>E10-I11</f>
        <v>2574.0</v>
      </c>
      <c r="M11" s="11">
        <f>L11/E10</f>
        <v>0.17657954311586746</v>
      </c>
      <c r="N11" s="13">
        <f>L11+N10</f>
        <v>13965.0</v>
      </c>
      <c r="O11" s="15">
        <f>J11/5*24</f>
        <v>380198.4</v>
      </c>
      <c r="P11" s="11">
        <f>J11/5*24/350166</f>
        <v>1.0857661794691662</v>
      </c>
    </row>
    <row r="12" spans="8:8" ht="14.45">
      <c r="A12" s="7" t="str">
        <f>IF(B12="","",ROW(6:8))</f>
        <v/>
      </c>
      <c r="B12" s="15"/>
      <c r="C12" s="13"/>
      <c r="D12" s="16"/>
      <c r="E12" s="13"/>
      <c r="F12" s="13"/>
      <c r="G12" s="11"/>
      <c r="H12" s="18"/>
      <c r="I12" s="13"/>
      <c r="J12" s="15"/>
      <c r="K12" s="14"/>
      <c r="L12" s="13"/>
      <c r="M12" s="11"/>
      <c r="N12" s="13"/>
      <c r="O12" s="17"/>
      <c r="P12" s="11"/>
    </row>
    <row r="13" spans="8:8" ht="15.05">
      <c r="A13" s="7">
        <f>IF(B13="","",ROW(7:9))</f>
        <v>7.0</v>
      </c>
      <c r="B13" s="8" t="s">
        <v>61</v>
      </c>
      <c r="C13" s="9">
        <v>85.0</v>
      </c>
      <c r="D13" s="10">
        <v>30000.0</v>
      </c>
      <c r="E13" s="9">
        <v>16907.0</v>
      </c>
      <c r="F13" s="9">
        <v>50.0</v>
      </c>
      <c r="G13" s="11">
        <f>F13/C13</f>
        <v>0.5882352941176471</v>
      </c>
      <c r="H13" s="18">
        <f>111/F13</f>
        <v>2.22</v>
      </c>
      <c r="I13" s="13">
        <f>10355</f>
        <v>10355.0</v>
      </c>
      <c r="J13" s="15">
        <f>I13+J11</f>
        <v>89563.0</v>
      </c>
      <c r="K13" s="14">
        <f>J13/350166</f>
        <v>0.2557729762455521</v>
      </c>
      <c r="L13" s="13">
        <f>E11-I13</f>
        <v>5987.0</v>
      </c>
      <c r="M13" s="11">
        <f>L13/E11</f>
        <v>0.3663566270958267</v>
      </c>
      <c r="N13" s="13">
        <f>L13+N11</f>
        <v>19952.0</v>
      </c>
      <c r="O13" s="15">
        <f>J13/6*24</f>
        <v>358252.0</v>
      </c>
      <c r="P13" s="11">
        <f>J13/6*24/350166</f>
        <v>1.0230919049822085</v>
      </c>
    </row>
    <row r="14" spans="8:8" ht="15.05">
      <c r="A14" s="7">
        <f>IF(B14="","",ROW(8:10))</f>
        <v>8.0</v>
      </c>
      <c r="B14" s="8" t="s">
        <v>62</v>
      </c>
      <c r="C14" s="9">
        <v>72.0</v>
      </c>
      <c r="D14" s="10">
        <v>20000.0</v>
      </c>
      <c r="E14" s="9">
        <v>15282.0</v>
      </c>
      <c r="F14" s="9">
        <v>45.0</v>
      </c>
      <c r="G14" s="11">
        <f>F14/C14</f>
        <v>0.625</v>
      </c>
      <c r="H14" s="18">
        <f>110/F14</f>
        <v>2.4444444444444446</v>
      </c>
      <c r="I14" s="9">
        <v>14120.0</v>
      </c>
      <c r="J14" s="13">
        <f>I14+J13</f>
        <v>103683.0</v>
      </c>
      <c r="K14" s="14">
        <f>J14/350166</f>
        <v>0.29609670841829305</v>
      </c>
      <c r="L14" s="13">
        <f>E13-I14</f>
        <v>2787.0</v>
      </c>
      <c r="M14" s="11">
        <f>L14/E13</f>
        <v>0.1648429644525936</v>
      </c>
      <c r="N14" s="13">
        <f>L14+N13</f>
        <v>22739.0</v>
      </c>
      <c r="O14" s="15">
        <f>J14/7*24</f>
        <v>355484.5714285714</v>
      </c>
      <c r="P14" s="11">
        <f>J14/7*24/350166</f>
        <v>1.0151887145770047</v>
      </c>
    </row>
    <row r="15" spans="8:8" ht="15.05">
      <c r="A15" s="7">
        <f>IF(B15="","",ROW(9:11))</f>
        <v>9.0</v>
      </c>
      <c r="B15" s="8" t="s">
        <v>63</v>
      </c>
      <c r="C15" s="9">
        <v>86.0</v>
      </c>
      <c r="D15" s="10">
        <v>30000.0</v>
      </c>
      <c r="E15" s="9">
        <f>24728-4000+400</f>
        <v>21128.0</v>
      </c>
      <c r="F15" s="9">
        <v>60.0</v>
      </c>
      <c r="G15" s="11">
        <f>F15/C15</f>
        <v>0.6976744186046512</v>
      </c>
      <c r="H15" s="18">
        <f>142/F15</f>
        <v>2.3666666666666667</v>
      </c>
      <c r="I15" s="9">
        <v>11940.0</v>
      </c>
      <c r="J15" s="13">
        <f>I15+J14</f>
        <v>115623.0</v>
      </c>
      <c r="K15" s="14">
        <f>J15/350166</f>
        <v>0.33019482188447763</v>
      </c>
      <c r="L15" s="13">
        <f>E14-I15</f>
        <v>3342.0</v>
      </c>
      <c r="M15" s="11">
        <f>L15/E14</f>
        <v>0.21868865331762857</v>
      </c>
      <c r="N15" s="13">
        <f>L15+N14</f>
        <v>26081.0</v>
      </c>
      <c r="O15" s="15">
        <f>J15/8*24</f>
        <v>346869.0</v>
      </c>
      <c r="P15" s="11">
        <f>J15/8*24/350166</f>
        <v>0.9905844656534329</v>
      </c>
    </row>
    <row r="16" spans="8:8" ht="15.05">
      <c r="A16" s="7">
        <f>IF(B16="","",ROW(10:12))</f>
        <v>10.0</v>
      </c>
      <c r="B16" s="8" t="s">
        <v>64</v>
      </c>
      <c r="C16" s="9">
        <v>65.0</v>
      </c>
      <c r="D16" s="10">
        <v>20000.0</v>
      </c>
      <c r="E16" s="9">
        <v>14364.0</v>
      </c>
      <c r="F16" s="9">
        <v>45.0</v>
      </c>
      <c r="G16" s="11">
        <f>F16/C16</f>
        <v>0.6923076923076923</v>
      </c>
      <c r="H16" s="18">
        <f>102/F16</f>
        <v>2.2666666666666666</v>
      </c>
      <c r="I16" s="13">
        <f>24223</f>
        <v>24223.0</v>
      </c>
      <c r="J16" s="13">
        <f>I16+J15</f>
        <v>139846.0</v>
      </c>
      <c r="K16" s="14">
        <f>J16/350166</f>
        <v>0.39937058423719035</v>
      </c>
      <c r="L16" s="13">
        <f>E15-I16</f>
        <v>-3095.0</v>
      </c>
      <c r="M16" s="11">
        <f>L16/E15</f>
        <v>-0.14648807269973496</v>
      </c>
      <c r="N16" s="13">
        <f>L16+N15</f>
        <v>22986.0</v>
      </c>
      <c r="O16" s="15">
        <f>J16/9*24</f>
        <v>372922.6666666667</v>
      </c>
      <c r="P16" s="11">
        <f>J16/9*24/350166</f>
        <v>1.0649882246325078</v>
      </c>
    </row>
    <row r="17" spans="8:8" ht="15.05">
      <c r="A17" s="7">
        <f>IF(B17="","",ROW(11:13))</f>
        <v>11.0</v>
      </c>
      <c r="B17" s="8" t="s">
        <v>65</v>
      </c>
      <c r="C17" s="9">
        <v>76.0</v>
      </c>
      <c r="D17" s="10">
        <v>20000.0</v>
      </c>
      <c r="E17" s="9">
        <v>14680.0</v>
      </c>
      <c r="F17" s="9">
        <v>40.0</v>
      </c>
      <c r="G17" s="11">
        <f>F17/C17</f>
        <v>0.5263157894736842</v>
      </c>
      <c r="H17" s="18">
        <f>92/F17</f>
        <v>2.3</v>
      </c>
      <c r="I17" s="9">
        <v>10030.0</v>
      </c>
      <c r="J17" s="13">
        <f>I17+J16</f>
        <v>149876.0</v>
      </c>
      <c r="K17" s="14">
        <f>J17/350166</f>
        <v>0.42801414186414444</v>
      </c>
      <c r="L17" s="13">
        <f>E16-I17</f>
        <v>4334.0</v>
      </c>
      <c r="M17" s="11">
        <f>L17/E16</f>
        <v>0.30172653856864384</v>
      </c>
      <c r="N17" s="13">
        <f>L17+N16</f>
        <v>27320.0</v>
      </c>
      <c r="O17" s="15">
        <f>J17/10*24</f>
        <v>359702.4</v>
      </c>
      <c r="P17" s="11">
        <f>J17/10*24/350166</f>
        <v>1.0272339404739468</v>
      </c>
    </row>
    <row r="18" spans="8:8" ht="15.05">
      <c r="A18" s="7">
        <f>IF(B18="","",ROW(12:14))</f>
        <v>12.0</v>
      </c>
      <c r="B18" s="8" t="s">
        <v>66</v>
      </c>
      <c r="C18" s="9">
        <v>68.0</v>
      </c>
      <c r="D18" s="10">
        <v>10000.0</v>
      </c>
      <c r="E18" s="9">
        <v>6530.0</v>
      </c>
      <c r="F18" s="9">
        <v>30.0</v>
      </c>
      <c r="G18" s="11">
        <f>F18/C18</f>
        <v>0.4411764705882353</v>
      </c>
      <c r="H18" s="18">
        <f>112/F18</f>
        <v>3.7333333333333334</v>
      </c>
      <c r="I18" s="9">
        <v>14235.0</v>
      </c>
      <c r="J18" s="13">
        <f>I18+J17</f>
        <v>164111.0</v>
      </c>
      <c r="K18" s="14">
        <f>J18/350166</f>
        <v>0.4686662897025982</v>
      </c>
      <c r="L18" s="13">
        <f>E17-I18</f>
        <v>445.0</v>
      </c>
      <c r="M18" s="11">
        <f>L18/E17</f>
        <v>0.030313351498637602</v>
      </c>
      <c r="N18" s="13">
        <f>L18+N17</f>
        <v>27765.0</v>
      </c>
      <c r="O18" s="15">
        <f>J18/11*24</f>
        <v>358060.36363636365</v>
      </c>
      <c r="P18" s="11">
        <f>J18/11*24/350166</f>
        <v>1.0225446320783962</v>
      </c>
    </row>
    <row r="19" spans="8:8" ht="14.45">
      <c r="A19" s="7" t="str">
        <f>IF(B19="","",ROW(13:15))</f>
        <v/>
      </c>
      <c r="B19" s="15"/>
      <c r="C19" s="13"/>
      <c r="D19" s="16"/>
      <c r="E19" s="13"/>
      <c r="F19" s="13"/>
      <c r="G19" s="11"/>
      <c r="H19" s="13"/>
      <c r="I19" s="13"/>
      <c r="J19" s="15"/>
      <c r="K19" s="14"/>
      <c r="L19" s="13"/>
      <c r="M19" s="11"/>
      <c r="N19" s="13"/>
      <c r="O19" s="17"/>
      <c r="P19" s="11"/>
    </row>
    <row r="20" spans="8:8" ht="15.05">
      <c r="A20" s="7">
        <f>IF(B20="","",ROW(14:16))</f>
        <v>14.0</v>
      </c>
      <c r="B20" s="8" t="s">
        <v>67</v>
      </c>
      <c r="C20" s="9">
        <v>85.0</v>
      </c>
      <c r="D20" s="10">
        <v>30000.0</v>
      </c>
      <c r="E20" s="9">
        <f>25325-3000</f>
        <v>22325.0</v>
      </c>
      <c r="F20" s="9">
        <v>55.0</v>
      </c>
      <c r="G20" s="11">
        <f>F20/C20</f>
        <v>0.6470588235294118</v>
      </c>
      <c r="H20" s="18">
        <f>112/F20</f>
        <v>2.036363636363636</v>
      </c>
      <c r="I20" s="13">
        <v>5750.0</v>
      </c>
      <c r="J20" s="15">
        <f>I20+J18</f>
        <v>169861.0</v>
      </c>
      <c r="K20" s="14">
        <f>J20/350166</f>
        <v>0.4850870729882399</v>
      </c>
      <c r="L20" s="13">
        <f>E18-I20</f>
        <v>780.0</v>
      </c>
      <c r="M20" s="11">
        <f>L20/E18</f>
        <v>0.11944869831546708</v>
      </c>
      <c r="N20" s="13">
        <f>L20+N18</f>
        <v>28545.0</v>
      </c>
      <c r="O20" s="15">
        <f>J20/12*24</f>
        <v>339722.0</v>
      </c>
      <c r="P20" s="11">
        <f>J20/12*24/350166</f>
        <v>0.9701741459764798</v>
      </c>
    </row>
    <row r="21" spans="8:8" ht="15.05">
      <c r="A21" s="7">
        <f>IF(B21="","",ROW(15:17))</f>
        <v>15.0</v>
      </c>
      <c r="B21" s="8" t="s">
        <v>68</v>
      </c>
      <c r="C21" s="9">
        <v>72.0</v>
      </c>
      <c r="D21" s="10">
        <v>20000.0</v>
      </c>
      <c r="E21" s="9">
        <v>17759.0</v>
      </c>
      <c r="F21" s="9">
        <v>50.0</v>
      </c>
      <c r="G21" s="11">
        <f>F21/C21</f>
        <v>0.6944444444444444</v>
      </c>
      <c r="H21" s="18">
        <f>110/F21</f>
        <v>2.2</v>
      </c>
      <c r="I21" s="9">
        <f>23256</f>
        <v>23256.0</v>
      </c>
      <c r="J21" s="13">
        <f>I21+J20-5750</f>
        <v>187367.0</v>
      </c>
      <c r="K21" s="14">
        <f>J21/350166</f>
        <v>0.5350805046749256</v>
      </c>
      <c r="L21" s="13">
        <f>E20-I21</f>
        <v>-931.0</v>
      </c>
      <c r="M21" s="11">
        <f>L21/E20</f>
        <v>-0.04170212765957447</v>
      </c>
      <c r="N21" s="13">
        <f>L21+N20</f>
        <v>27614.0</v>
      </c>
      <c r="O21" s="15">
        <f>J21/13*24</f>
        <v>345908.3076923077</v>
      </c>
      <c r="P21" s="11">
        <f>J21/13*24/350166</f>
        <v>0.9878409317075549</v>
      </c>
    </row>
    <row r="22" spans="8:8" ht="15.05">
      <c r="A22" s="7">
        <f>IF(B22="","",ROW(16:18))</f>
        <v>16.0</v>
      </c>
      <c r="B22" s="8" t="s">
        <v>69</v>
      </c>
      <c r="C22" s="9">
        <v>86.0</v>
      </c>
      <c r="D22" s="10">
        <v>30000.0</v>
      </c>
      <c r="E22" s="9">
        <v>21245.0</v>
      </c>
      <c r="F22" s="9">
        <v>60.0</v>
      </c>
      <c r="G22" s="11">
        <f>F22/C22</f>
        <v>0.6976744186046512</v>
      </c>
      <c r="H22" s="18">
        <f>150/F22</f>
        <v>2.5</v>
      </c>
      <c r="I22" s="9">
        <v>14571.0</v>
      </c>
      <c r="J22" s="13">
        <f>I22+J21</f>
        <v>201938.0</v>
      </c>
      <c r="K22" s="14">
        <f>J22/350166</f>
        <v>0.5766921974149404</v>
      </c>
      <c r="L22" s="13">
        <f>E21-I22</f>
        <v>3188.0</v>
      </c>
      <c r="M22" s="11">
        <f>L22/E21</f>
        <v>0.17951461230925164</v>
      </c>
      <c r="N22" s="13">
        <f>L22+N21</f>
        <v>30802.0</v>
      </c>
      <c r="O22" s="15">
        <f>J22/14*24</f>
        <v>346179.4285714286</v>
      </c>
      <c r="P22" s="11">
        <f>J22/14*24/350166</f>
        <v>0.9886151955684692</v>
      </c>
    </row>
    <row r="23" spans="8:8" ht="15.05">
      <c r="A23" s="7">
        <f>IF(B23="","",ROW(17:19))</f>
        <v>17.0</v>
      </c>
      <c r="B23" s="8" t="s">
        <v>70</v>
      </c>
      <c r="C23" s="9">
        <v>65.0</v>
      </c>
      <c r="D23" s="10">
        <v>20000.0</v>
      </c>
      <c r="E23" s="9">
        <v>12310.0</v>
      </c>
      <c r="F23" s="9">
        <v>45.0</v>
      </c>
      <c r="G23" s="11">
        <f>F23/C23</f>
        <v>0.6923076923076923</v>
      </c>
      <c r="H23" s="19">
        <f>110/F23</f>
        <v>2.4444444444444446</v>
      </c>
      <c r="I23" s="13">
        <f>22816</f>
        <v>22816.0</v>
      </c>
      <c r="J23" s="13">
        <f>I23+J22</f>
        <v>224754.0</v>
      </c>
      <c r="K23" s="14">
        <f>J23/350166</f>
        <v>0.6418498654923664</v>
      </c>
      <c r="L23" s="13">
        <f>E22-I23</f>
        <v>-1571.0</v>
      </c>
      <c r="M23" s="11">
        <f>L23/E22</f>
        <v>-0.07394681101435632</v>
      </c>
      <c r="N23" s="13">
        <f>L23+N22</f>
        <v>29231.0</v>
      </c>
      <c r="O23" s="15">
        <f>J23/15*24</f>
        <v>359606.4</v>
      </c>
      <c r="P23" s="11">
        <f>J23/15*24/350166</f>
        <v>1.0269597847877865</v>
      </c>
    </row>
    <row r="24" spans="8:8" ht="15.05">
      <c r="A24" s="7">
        <f>IF(B24="","",ROW(18:20))</f>
        <v>18.0</v>
      </c>
      <c r="B24" s="8" t="s">
        <v>71</v>
      </c>
      <c r="C24" s="9">
        <v>76.0</v>
      </c>
      <c r="D24" s="10">
        <v>20000.0</v>
      </c>
      <c r="E24" s="9">
        <v>15545.0</v>
      </c>
      <c r="F24" s="9">
        <v>45.0</v>
      </c>
      <c r="G24" s="11">
        <f>F24/C24</f>
        <v>0.5921052631578947</v>
      </c>
      <c r="H24" s="18">
        <f>92/F24</f>
        <v>2.0444444444444443</v>
      </c>
      <c r="I24" s="9">
        <v>9989.0</v>
      </c>
      <c r="J24" s="13">
        <f>I24+J23</f>
        <v>234743.0</v>
      </c>
      <c r="K24" s="14">
        <f>J24/350166</f>
        <v>0.670376335795023</v>
      </c>
      <c r="L24" s="13">
        <f>E23-I24</f>
        <v>2321.0</v>
      </c>
      <c r="M24" s="11">
        <f>L24/E23</f>
        <v>0.18854589764419172</v>
      </c>
      <c r="N24" s="13">
        <f>L24+N23</f>
        <v>31552.0</v>
      </c>
      <c r="O24" s="15">
        <f>J24/16*24</f>
        <v>352114.5</v>
      </c>
      <c r="P24" s="11">
        <f>J24/16*24/350166</f>
        <v>1.0055645036925345</v>
      </c>
    </row>
    <row r="25" spans="8:8" ht="15.05">
      <c r="A25" s="7">
        <f>IF(B25="","",ROW(19:21))</f>
        <v>19.0</v>
      </c>
      <c r="B25" s="8" t="s">
        <v>72</v>
      </c>
      <c r="C25" s="9">
        <v>68.0</v>
      </c>
      <c r="D25" s="10">
        <v>20000.0</v>
      </c>
      <c r="E25" s="13">
        <v>7536.0</v>
      </c>
      <c r="F25" s="9">
        <v>40.0</v>
      </c>
      <c r="G25" s="11">
        <f>F25/C25</f>
        <v>0.5882352941176471</v>
      </c>
      <c r="H25" s="18">
        <f>112/F25</f>
        <v>2.8</v>
      </c>
      <c r="I25" s="9">
        <f>15000</f>
        <v>15000.0</v>
      </c>
      <c r="J25" s="13">
        <f>I25+J24</f>
        <v>249743.0</v>
      </c>
      <c r="K25" s="14">
        <f>J25/350166</f>
        <v>0.7132131617575664</v>
      </c>
      <c r="L25" s="13">
        <f>E24-I25</f>
        <v>545.0</v>
      </c>
      <c r="M25" s="11">
        <f>L25/E24</f>
        <v>0.03505950466387906</v>
      </c>
      <c r="N25" s="13">
        <f>L25+N24</f>
        <v>32097.0</v>
      </c>
      <c r="O25" s="15">
        <f>J25/17*24</f>
        <v>352578.3529411765</v>
      </c>
      <c r="P25" s="11">
        <f>J25/17*24/350166</f>
        <v>1.0068891695400939</v>
      </c>
    </row>
    <row r="26" spans="8:8" ht="14.45">
      <c r="A26" s="7" t="str">
        <f>IF(B26="","",ROW(20:22))</f>
        <v/>
      </c>
      <c r="B26" s="15"/>
      <c r="C26" s="13"/>
      <c r="D26" s="16"/>
      <c r="E26" s="13"/>
      <c r="F26" s="13"/>
      <c r="G26" s="11"/>
      <c r="H26" s="15"/>
      <c r="I26" s="13"/>
      <c r="J26" s="15"/>
      <c r="K26" s="14"/>
      <c r="L26" s="13"/>
      <c r="M26" s="11"/>
      <c r="N26" s="13"/>
      <c r="O26" s="17"/>
      <c r="P26" s="11"/>
    </row>
    <row r="27" spans="8:8" ht="15.05">
      <c r="A27" s="7">
        <f>IF(B27="","",ROW(21:23))</f>
        <v>21.0</v>
      </c>
      <c r="B27" s="8" t="s">
        <v>73</v>
      </c>
      <c r="C27" s="9">
        <v>85.0</v>
      </c>
      <c r="D27" s="10">
        <v>30000.0</v>
      </c>
      <c r="E27" s="9">
        <v>15545.0</v>
      </c>
      <c r="F27" s="9">
        <v>45.0</v>
      </c>
      <c r="G27" s="11">
        <f>F27/C27</f>
        <v>0.5294117647058824</v>
      </c>
      <c r="H27" s="19">
        <f>110/F27</f>
        <v>2.4444444444444446</v>
      </c>
      <c r="I27" s="13">
        <v>6758.0</v>
      </c>
      <c r="J27" s="15">
        <f>I27+J25</f>
        <v>256501.0</v>
      </c>
      <c r="K27" s="14">
        <f>J27/350166</f>
        <v>0.732512579747891</v>
      </c>
      <c r="L27" s="13">
        <f>E25-I27</f>
        <v>778.0</v>
      </c>
      <c r="M27" s="11">
        <f>L27/E25</f>
        <v>0.10323779193205945</v>
      </c>
      <c r="N27" s="13">
        <f>L27+N25</f>
        <v>32875.0</v>
      </c>
      <c r="O27" s="15">
        <f>J27/18*24</f>
        <v>342001.3333333333</v>
      </c>
      <c r="P27" s="11">
        <f>J27/18*24/350166</f>
        <v>0.9766834396638546</v>
      </c>
    </row>
    <row r="28" spans="8:8" ht="15.05">
      <c r="A28" s="7">
        <f>IF(B28="","",ROW(22:24))</f>
        <v>22.0</v>
      </c>
      <c r="B28" s="8" t="s">
        <v>74</v>
      </c>
      <c r="C28" s="9">
        <v>72.0</v>
      </c>
      <c r="D28" s="10">
        <v>20000.0</v>
      </c>
      <c r="E28" s="9">
        <v>15978.0</v>
      </c>
      <c r="F28" s="9">
        <v>45.0</v>
      </c>
      <c r="G28" s="11">
        <f>F28/C28</f>
        <v>0.625</v>
      </c>
      <c r="H28" s="18">
        <f>112/F28</f>
        <v>2.488888888888889</v>
      </c>
      <c r="I28" s="9">
        <v>13049.0</v>
      </c>
      <c r="J28" s="13">
        <f>I28+J27</f>
        <v>269550.0</v>
      </c>
      <c r="K28" s="14">
        <f>J28/350166</f>
        <v>0.7697777625469063</v>
      </c>
      <c r="L28" s="13">
        <f>E27-I28</f>
        <v>2496.0</v>
      </c>
      <c r="M28" s="11">
        <f>L28/E27</f>
        <v>0.16056609842393052</v>
      </c>
      <c r="N28" s="13">
        <f>L28+N27</f>
        <v>35371.0</v>
      </c>
      <c r="O28" s="15">
        <f>J28/19*24</f>
        <v>340484.2105263158</v>
      </c>
      <c r="P28" s="11">
        <f>J28/19*24/350166</f>
        <v>0.9723508579539869</v>
      </c>
    </row>
    <row r="29" spans="8:8" ht="15.05">
      <c r="A29" s="7">
        <f>IF(B29="","",ROW(23:25))</f>
        <v>23.0</v>
      </c>
      <c r="B29" s="8" t="s">
        <v>75</v>
      </c>
      <c r="C29" s="9">
        <v>86.0</v>
      </c>
      <c r="D29" s="10">
        <v>30000.0</v>
      </c>
      <c r="E29" s="9">
        <v>20105.0</v>
      </c>
      <c r="F29" s="9">
        <v>50.0</v>
      </c>
      <c r="G29" s="11">
        <f>F29/C29</f>
        <v>0.5813953488372093</v>
      </c>
      <c r="H29" s="15">
        <f>162/F29</f>
        <v>3.24</v>
      </c>
      <c r="I29" s="9">
        <v>12727.0</v>
      </c>
      <c r="J29" s="13">
        <f>I29+J28</f>
        <v>282277.0</v>
      </c>
      <c r="K29" s="14">
        <f>J29/350166</f>
        <v>0.8061233814819257</v>
      </c>
      <c r="L29" s="13">
        <f>E28-I29</f>
        <v>3251.0</v>
      </c>
      <c r="M29" s="11">
        <f>L29/E28</f>
        <v>0.2034672674928026</v>
      </c>
      <c r="N29" s="13">
        <f>L29+N28</f>
        <v>38622.0</v>
      </c>
      <c r="O29" s="15">
        <f>J29/20*24</f>
        <v>338732.4</v>
      </c>
      <c r="P29" s="11">
        <f>J29/20*24/350166</f>
        <v>0.9673480577783109</v>
      </c>
    </row>
    <row r="30" spans="8:8" ht="15.05">
      <c r="A30" s="7">
        <f>IF(B30="","",ROW(24:26))</f>
        <v>24.0</v>
      </c>
      <c r="B30" s="8" t="s">
        <v>76</v>
      </c>
      <c r="C30" s="9">
        <v>65.0</v>
      </c>
      <c r="D30" s="10">
        <v>20000.0</v>
      </c>
      <c r="E30" s="9">
        <v>13441.0</v>
      </c>
      <c r="F30" s="9">
        <v>45.0</v>
      </c>
      <c r="G30" s="11">
        <f>F30/C30</f>
        <v>0.6923076923076923</v>
      </c>
      <c r="H30" s="20">
        <f>115/F30</f>
        <v>2.5555555555555554</v>
      </c>
      <c r="I30" s="9">
        <f>11524</f>
        <v>11524.0</v>
      </c>
      <c r="J30" s="13">
        <f>I30+J29</f>
        <v>293801.0</v>
      </c>
      <c r="K30" s="14">
        <f>J30/350166</f>
        <v>0.8390334869747491</v>
      </c>
      <c r="L30" s="13">
        <f>E29-I30</f>
        <v>8581.0</v>
      </c>
      <c r="M30" s="11">
        <f>L30/E29</f>
        <v>0.42680925142999254</v>
      </c>
      <c r="N30" s="13">
        <f>L30+N29</f>
        <v>47203.0</v>
      </c>
      <c r="O30" s="15">
        <f>J30/21*24</f>
        <v>335772.5714285714</v>
      </c>
      <c r="P30" s="11">
        <f>J30/21*24/350166</f>
        <v>0.9588954136854275</v>
      </c>
    </row>
    <row r="31" spans="8:8" ht="15.05">
      <c r="A31" s="7">
        <f>IF(B31="","",ROW(25:27))</f>
        <v>25.0</v>
      </c>
      <c r="B31" s="8" t="s">
        <v>77</v>
      </c>
      <c r="C31" s="9">
        <v>76.0</v>
      </c>
      <c r="D31" s="10">
        <v>20000.0</v>
      </c>
      <c r="E31" s="9">
        <v>13545.0</v>
      </c>
      <c r="F31" s="9">
        <v>45.0</v>
      </c>
      <c r="G31" s="11">
        <f>F31/C31</f>
        <v>0.5921052631578947</v>
      </c>
      <c r="H31" s="20">
        <f>92/F31</f>
        <v>2.0444444444444443</v>
      </c>
      <c r="I31" s="9">
        <v>10000.0</v>
      </c>
      <c r="J31" s="13">
        <f>I31+J30</f>
        <v>303801.0</v>
      </c>
      <c r="K31" s="14">
        <f>J31/350166</f>
        <v>0.8675913709497781</v>
      </c>
      <c r="L31" s="13">
        <f>E30-I31</f>
        <v>3441.0</v>
      </c>
      <c r="M31" s="11">
        <f>L31/E30</f>
        <v>0.2560077375195298</v>
      </c>
      <c r="N31" s="13">
        <f>L31+N30</f>
        <v>50644.0</v>
      </c>
      <c r="O31" s="15">
        <f>J31/22*24</f>
        <v>331419.2727272727</v>
      </c>
      <c r="P31" s="11">
        <f>J31/22*24/350166</f>
        <v>0.9464633137633942</v>
      </c>
    </row>
    <row r="32" spans="8:8" ht="15.05">
      <c r="A32" s="7">
        <f>IF(B32="","",ROW(26:28))</f>
        <v>26.0</v>
      </c>
      <c r="B32" s="15" t="s">
        <v>79</v>
      </c>
      <c r="C32" s="13">
        <v>68.0</v>
      </c>
      <c r="D32" s="21">
        <v>20000.0</v>
      </c>
      <c r="E32" s="13">
        <v>12215.0</v>
      </c>
      <c r="F32" s="13">
        <v>40.0</v>
      </c>
      <c r="G32" s="11">
        <f>F32/C32</f>
        <v>0.5882352941176471</v>
      </c>
      <c r="H32" s="22">
        <f>102/F32</f>
        <v>2.55</v>
      </c>
      <c r="I32" s="23">
        <v>11114.0</v>
      </c>
      <c r="J32" s="13">
        <f>I32+J31</f>
        <v>314915.0</v>
      </c>
      <c r="K32" s="14">
        <f>J32/350166</f>
        <v>0.8993306031996253</v>
      </c>
      <c r="L32" s="13">
        <f>E31-I32</f>
        <v>2431.0</v>
      </c>
      <c r="M32" s="11">
        <f>L32/E31</f>
        <v>0.17947582133628645</v>
      </c>
      <c r="N32" s="13">
        <f>L32+N31</f>
        <v>53075.0</v>
      </c>
      <c r="O32" s="15">
        <f>J32/23*24</f>
        <v>328606.95652173914</v>
      </c>
      <c r="P32" s="11">
        <f>J32/23*24/350166</f>
        <v>0.9384319337735221</v>
      </c>
    </row>
    <row r="33" spans="8:8" ht="14.45" customFormat="1">
      <c r="A33" s="7" t="str">
        <f>IF(B33="","",ROW(27:29))</f>
        <v/>
      </c>
      <c r="B33" s="15"/>
      <c r="C33" s="13"/>
      <c r="D33" s="21"/>
      <c r="E33" s="13"/>
      <c r="F33" s="13"/>
      <c r="G33" s="11"/>
      <c r="H33" s="15"/>
      <c r="I33" s="23"/>
      <c r="J33" s="13"/>
      <c r="K33" s="14"/>
      <c r="L33" s="13"/>
      <c r="M33" s="13"/>
      <c r="N33" s="13"/>
      <c r="O33" s="15"/>
      <c r="P33" s="13"/>
    </row>
    <row r="34" spans="8:8" ht="15.05" customFormat="1">
      <c r="A34" s="7">
        <f>IF(B34="","",ROW(28:30))</f>
        <v>28.0</v>
      </c>
      <c r="B34" s="15" t="s">
        <v>81</v>
      </c>
      <c r="C34" s="13">
        <v>85.0</v>
      </c>
      <c r="D34" s="21">
        <v>30000.0</v>
      </c>
      <c r="E34" s="13">
        <v>15545.0</v>
      </c>
      <c r="F34" s="13">
        <v>50.0</v>
      </c>
      <c r="G34" s="11">
        <f>F34/C34</f>
        <v>0.5882352941176471</v>
      </c>
      <c r="H34" s="24">
        <f>122/F34</f>
        <v>2.44</v>
      </c>
      <c r="I34" s="23">
        <v>7000.0</v>
      </c>
      <c r="J34" s="15">
        <f>I34+J32</f>
        <v>321915.0</v>
      </c>
      <c r="K34" s="14">
        <f>J34/350166</f>
        <v>0.9193211219821457</v>
      </c>
      <c r="L34" s="13">
        <f>E32-I34</f>
        <v>5215.0</v>
      </c>
      <c r="M34" s="11">
        <f>L34/E32</f>
        <v>0.4269340974212034</v>
      </c>
      <c r="N34" s="13">
        <f>L34+N32</f>
        <v>58290.0</v>
      </c>
      <c r="O34" s="15">
        <f>J34/24*24</f>
        <v>321915.0</v>
      </c>
      <c r="P34" s="11">
        <f>J34/24*24/350166</f>
        <v>0.9193211219821457</v>
      </c>
    </row>
    <row r="35" spans="8:8">
      <c r="A35" s="25" t="s">
        <v>78</v>
      </c>
      <c r="B35" s="15"/>
      <c r="C35" s="13"/>
      <c r="D35" s="16"/>
      <c r="E35" s="16"/>
      <c r="F35" s="13"/>
      <c r="G35" s="13"/>
      <c r="H35" s="15"/>
      <c r="I35" s="13"/>
      <c r="J35" s="13"/>
      <c r="K35" s="15"/>
      <c r="L35" s="13"/>
      <c r="M35" s="13"/>
      <c r="N35" s="13"/>
      <c r="O35" s="15"/>
      <c r="P35" s="13"/>
    </row>
  </sheetData>
  <mergeCells count="18">
    <mergeCell ref="A1:N3"/>
    <mergeCell ref="L4:N4"/>
    <mergeCell ref="A4:B4"/>
    <mergeCell ref="N5:N6"/>
    <mergeCell ref="P5:P6"/>
    <mergeCell ref="B5:B6"/>
    <mergeCell ref="H4:K4"/>
    <mergeCell ref="M5:M6"/>
    <mergeCell ref="L5:L6"/>
    <mergeCell ref="O5:O6"/>
    <mergeCell ref="C5:C6"/>
    <mergeCell ref="A5:A6"/>
    <mergeCell ref="I5:K5"/>
    <mergeCell ref="E5:E6"/>
    <mergeCell ref="F5:F6"/>
    <mergeCell ref="D5:D6"/>
    <mergeCell ref="G5:G6"/>
    <mergeCell ref="H5:H6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AZ40"/>
  <sheetViews>
    <sheetView workbookViewId="0" zoomScale="70">
      <pane xSplit="2" ySplit="6" topLeftCell="M7" state="frozen" activePane="bottomRight"/>
      <selection pane="bottomRight" activeCell="I49" sqref="I49"/>
    </sheetView>
  </sheetViews>
  <sheetFormatPr defaultRowHeight="14.25" defaultColWidth="10"/>
  <cols>
    <col min="2" max="2" customWidth="1" width="11.3984375" style="0"/>
    <col min="3" max="3" customWidth="1" width="10.214844" style="0"/>
    <col min="8" max="8" customWidth="1" width="9.0" style="0"/>
    <col min="14" max="14" customWidth="1" bestFit="1" width="12.796875" style="0"/>
    <col min="15" max="15" customWidth="1" bestFit="1" width="10.8984375" style="0"/>
  </cols>
  <sheetData>
    <row r="1" spans="8:8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spans="8: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 spans="8: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</row>
    <row r="4" spans="8:8">
      <c r="A4" s="3" t="s">
        <v>30</v>
      </c>
      <c r="B4" s="3"/>
      <c r="C4" s="3" t="s">
        <v>31</v>
      </c>
      <c r="D4" s="3"/>
      <c r="E4" s="3"/>
      <c r="F4" s="3"/>
      <c r="G4" s="3"/>
      <c r="H4" s="3" t="s">
        <v>32</v>
      </c>
      <c r="I4" s="3"/>
      <c r="J4" s="3"/>
      <c r="K4" s="3"/>
      <c r="L4" s="3" t="s">
        <v>33</v>
      </c>
      <c r="M4" s="3"/>
      <c r="N4" s="3"/>
      <c r="O4" s="2"/>
      <c r="P4" s="2"/>
    </row>
    <row r="5" spans="8:8" ht="25.5">
      <c r="A5" s="4" t="s">
        <v>34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/>
      <c r="K5" s="5"/>
      <c r="L5" s="5" t="s">
        <v>43</v>
      </c>
      <c r="M5" s="5" t="s">
        <v>44</v>
      </c>
      <c r="N5" s="5" t="s">
        <v>45</v>
      </c>
      <c r="O5" s="6" t="s">
        <v>46</v>
      </c>
      <c r="P5" s="4" t="s">
        <v>47</v>
      </c>
    </row>
    <row r="6" spans="8:8">
      <c r="A6" s="4"/>
      <c r="B6" s="5"/>
      <c r="C6" s="5"/>
      <c r="D6" s="5"/>
      <c r="E6" s="5"/>
      <c r="F6" s="5"/>
      <c r="G6" s="5"/>
      <c r="H6" s="5"/>
      <c r="I6" s="4" t="s">
        <v>48</v>
      </c>
      <c r="J6" s="4" t="s">
        <v>49</v>
      </c>
      <c r="K6" s="4" t="s">
        <v>50</v>
      </c>
      <c r="L6" s="5"/>
      <c r="M6" s="5"/>
      <c r="N6" s="5"/>
      <c r="O6" s="6"/>
      <c r="P6" s="4"/>
    </row>
    <row r="7" spans="8:8" ht="15.05">
      <c r="A7" s="7">
        <f>IF(B7="","",ROW(1:3))</f>
        <v>1.0</v>
      </c>
      <c r="B7" s="8" t="s">
        <v>56</v>
      </c>
      <c r="C7" s="9">
        <v>72.0</v>
      </c>
      <c r="D7" s="10">
        <v>20000.0</v>
      </c>
      <c r="E7" s="9">
        <v>15045.0</v>
      </c>
      <c r="F7" s="9">
        <v>45.0</v>
      </c>
      <c r="G7" s="11">
        <f>F7/C7</f>
        <v>0.625</v>
      </c>
      <c r="H7" s="18">
        <f>112/F7</f>
        <v>2.488888888888889</v>
      </c>
      <c r="I7" s="9">
        <f>15217-3000</f>
        <v>12217.0</v>
      </c>
      <c r="J7" s="13">
        <f>I7</f>
        <v>12217.0</v>
      </c>
      <c r="K7" s="14">
        <f>J7/400163</f>
        <v>0.03053005900095711</v>
      </c>
      <c r="L7" s="13">
        <f>15565-I7</f>
        <v>3348.0</v>
      </c>
      <c r="M7" s="11">
        <f>L7/21525</f>
        <v>0.15554006968641115</v>
      </c>
      <c r="N7" s="26">
        <f>L7</f>
        <v>3348.0</v>
      </c>
      <c r="O7" s="15">
        <f>J7/1*27</f>
        <v>329859.0</v>
      </c>
      <c r="P7" s="11">
        <f>J7/1*27/400163</f>
        <v>0.824311593025842</v>
      </c>
    </row>
    <row r="8" spans="8:8" ht="15.05">
      <c r="A8" s="7">
        <f>IF(B8="","",ROW(2:4))</f>
        <v>2.0</v>
      </c>
      <c r="B8" s="8" t="s">
        <v>57</v>
      </c>
      <c r="C8" s="9">
        <v>86.0</v>
      </c>
      <c r="D8" s="10">
        <v>30000.0</v>
      </c>
      <c r="E8" s="9">
        <v>21665.0</v>
      </c>
      <c r="F8" s="9">
        <v>60.0</v>
      </c>
      <c r="G8" s="11">
        <f>F8/C8</f>
        <v>0.6976744186046512</v>
      </c>
      <c r="H8" s="18">
        <f>135/F8</f>
        <v>2.25</v>
      </c>
      <c r="I8" s="9">
        <v>11800.0</v>
      </c>
      <c r="J8" s="13">
        <f>I8+J7</f>
        <v>24017.0</v>
      </c>
      <c r="K8" s="14">
        <f>J8/400163</f>
        <v>0.060018042647621096</v>
      </c>
      <c r="L8" s="13">
        <f>E7-I8</f>
        <v>3245.0</v>
      </c>
      <c r="M8" s="11">
        <f>L8/E7</f>
        <v>0.21568627450980393</v>
      </c>
      <c r="N8" s="13">
        <f>L8+N7</f>
        <v>6593.0</v>
      </c>
      <c r="O8" s="15">
        <f>J8/2*27</f>
        <v>324229.5</v>
      </c>
      <c r="P8" s="11">
        <f>J8/2*27/400163</f>
        <v>0.8102435757428847</v>
      </c>
      <c r="Q8" s="27"/>
    </row>
    <row r="9" spans="8:8" ht="15.05">
      <c r="A9" s="7">
        <f>IF(B9="","",ROW(3:5))</f>
        <v>3.0</v>
      </c>
      <c r="B9" s="8" t="s">
        <v>58</v>
      </c>
      <c r="C9" s="9">
        <v>65.0</v>
      </c>
      <c r="D9" s="10">
        <v>20000.0</v>
      </c>
      <c r="E9" s="9">
        <v>15056.0</v>
      </c>
      <c r="F9" s="9">
        <v>50.0</v>
      </c>
      <c r="G9" s="11">
        <f>F9/C9</f>
        <v>0.7692307692307693</v>
      </c>
      <c r="H9" s="18">
        <f>113/F9</f>
        <v>2.26</v>
      </c>
      <c r="I9" s="13">
        <f>23127-5000</f>
        <v>18127.0</v>
      </c>
      <c r="J9" s="13">
        <f>I9+J8</f>
        <v>42144.0</v>
      </c>
      <c r="K9" s="14">
        <f>J9/400163</f>
        <v>0.10531708328855992</v>
      </c>
      <c r="L9" s="13">
        <f>E8-I9</f>
        <v>3538.0</v>
      </c>
      <c r="M9" s="11">
        <f>L9/E8</f>
        <v>0.16330486960535426</v>
      </c>
      <c r="N9" s="13">
        <f>L9+N8</f>
        <v>10131.0</v>
      </c>
      <c r="O9" s="15">
        <f>J9/3*27</f>
        <v>379296.0</v>
      </c>
      <c r="P9" s="11">
        <f>J9/3*27/400163</f>
        <v>0.9478537495970392</v>
      </c>
      <c r="Q9"/>
    </row>
    <row r="10" spans="8:8" ht="15.05">
      <c r="A10" s="7">
        <f>IF(B10="","",ROW(4:6))</f>
        <v>4.0</v>
      </c>
      <c r="B10" s="8" t="s">
        <v>59</v>
      </c>
      <c r="C10" s="9">
        <v>76.0</v>
      </c>
      <c r="D10" s="10">
        <v>20000.0</v>
      </c>
      <c r="E10" s="13">
        <v>12125.0</v>
      </c>
      <c r="F10" s="9">
        <v>40.0</v>
      </c>
      <c r="G10" s="11">
        <f>F10/C10</f>
        <v>0.5263157894736842</v>
      </c>
      <c r="H10" s="18">
        <f>93/F10</f>
        <v>2.325</v>
      </c>
      <c r="I10" s="9">
        <v>12372.0</v>
      </c>
      <c r="J10" s="13">
        <f>I10+J9</f>
        <v>54516.0</v>
      </c>
      <c r="K10" s="14">
        <f>J10/400163</f>
        <v>0.1362344844475876</v>
      </c>
      <c r="L10" s="13">
        <f>E9-I10</f>
        <v>2684.0</v>
      </c>
      <c r="M10" s="11">
        <f>L10/E9</f>
        <v>0.17826780021253985</v>
      </c>
      <c r="N10" s="13">
        <f>L10+N9</f>
        <v>12815.0</v>
      </c>
      <c r="O10" s="15">
        <f>J10/4*27</f>
        <v>367983.0</v>
      </c>
      <c r="P10" s="11">
        <f>J10/4*27/400163</f>
        <v>0.9195827700212164</v>
      </c>
    </row>
    <row r="11" spans="8:8" ht="15.05">
      <c r="A11" s="7">
        <f>IF(B11="","",ROW(5:7))</f>
        <v>5.0</v>
      </c>
      <c r="B11" s="8" t="s">
        <v>60</v>
      </c>
      <c r="C11" s="9">
        <v>68.0</v>
      </c>
      <c r="D11" s="10">
        <v>20000.0</v>
      </c>
      <c r="E11" s="13">
        <v>12000.0</v>
      </c>
      <c r="F11" s="9">
        <v>40.0</v>
      </c>
      <c r="G11" s="11">
        <f>F11/C11</f>
        <v>0.5882352941176471</v>
      </c>
      <c r="H11" s="18">
        <f>105/F11</f>
        <v>2.625</v>
      </c>
      <c r="I11" s="13">
        <v>10000.0</v>
      </c>
      <c r="J11" s="13">
        <f>I11+J10</f>
        <v>64516.0</v>
      </c>
      <c r="K11" s="14">
        <f>J11/400163</f>
        <v>0.16122430109730285</v>
      </c>
      <c r="L11" s="13">
        <f>E10-I11</f>
        <v>2125.0</v>
      </c>
      <c r="M11" s="11">
        <f>L11/E10</f>
        <v>0.17525773195876287</v>
      </c>
      <c r="N11" s="13">
        <f>L11+N10</f>
        <v>14940.0</v>
      </c>
      <c r="O11" s="15">
        <f>J11/5*27</f>
        <v>348386.4</v>
      </c>
      <c r="P11" s="11">
        <f>J11/5*27/400163</f>
        <v>0.8706112259254355</v>
      </c>
    </row>
    <row r="12" spans="8:8" ht="14.45">
      <c r="A12" s="7" t="str">
        <f>IF(B12="","",ROW(6:8))</f>
        <v/>
      </c>
      <c r="B12" s="15"/>
      <c r="C12" s="13"/>
      <c r="D12" s="16"/>
      <c r="E12" s="13"/>
      <c r="F12" s="13"/>
      <c r="G12" s="11"/>
      <c r="H12" s="18"/>
      <c r="I12" s="13"/>
      <c r="J12" s="15"/>
      <c r="K12" s="14"/>
      <c r="L12" s="13"/>
      <c r="M12" s="11"/>
      <c r="N12" s="13"/>
      <c r="O12" s="17"/>
      <c r="P12" s="11"/>
    </row>
    <row r="13" spans="8:8" ht="15.05">
      <c r="A13" s="7">
        <f>IF(B13="","",ROW(7:9))</f>
        <v>7.0</v>
      </c>
      <c r="B13" s="8" t="s">
        <v>61</v>
      </c>
      <c r="C13" s="9">
        <v>85.0</v>
      </c>
      <c r="D13" s="10">
        <v>30000.0</v>
      </c>
      <c r="E13" s="9">
        <v>21249.0</v>
      </c>
      <c r="F13" s="9">
        <v>52.0</v>
      </c>
      <c r="G13" s="11">
        <f>F13/C13</f>
        <v>0.611764705882353</v>
      </c>
      <c r="H13" s="18">
        <f>111/F13</f>
        <v>2.1346153846153846</v>
      </c>
      <c r="I13" s="13">
        <v>10000.0</v>
      </c>
      <c r="J13" s="15">
        <f>I13+J11</f>
        <v>74516.0</v>
      </c>
      <c r="K13" s="14">
        <f>J13/400163</f>
        <v>0.1862141177470181</v>
      </c>
      <c r="L13" s="13">
        <f>E11-I13</f>
        <v>2000.0</v>
      </c>
      <c r="M13" s="11">
        <f>L13/E11</f>
        <v>0.16666666666666666</v>
      </c>
      <c r="N13" s="13">
        <f>L13+N11</f>
        <v>16940.0</v>
      </c>
      <c r="O13" s="15">
        <f>J13/6*27</f>
        <v>335322.0</v>
      </c>
      <c r="P13" s="11">
        <f>J13/6*27/400163</f>
        <v>0.8379635298615814</v>
      </c>
    </row>
    <row r="14" spans="8:8" ht="15.05">
      <c r="A14" s="7">
        <f>IF(B14="","",ROW(8:10))</f>
        <v>8.0</v>
      </c>
      <c r="B14" s="8" t="s">
        <v>62</v>
      </c>
      <c r="C14" s="9">
        <v>72.0</v>
      </c>
      <c r="D14" s="10">
        <v>30000.0</v>
      </c>
      <c r="E14" s="9">
        <v>15709.0</v>
      </c>
      <c r="F14" s="9">
        <v>40.0</v>
      </c>
      <c r="G14" s="11">
        <f>F14/C14</f>
        <v>0.5555555555555556</v>
      </c>
      <c r="H14" s="18">
        <f>110/F14</f>
        <v>2.75</v>
      </c>
      <c r="I14" s="9">
        <v>16899.0</v>
      </c>
      <c r="J14" s="13">
        <f>I14+J13</f>
        <v>91415.0</v>
      </c>
      <c r="K14" s="14">
        <f>J14/400163</f>
        <v>0.22844440890337187</v>
      </c>
      <c r="L14" s="13">
        <f>E13-I14</f>
        <v>4350.0</v>
      </c>
      <c r="M14" s="11">
        <f>L14/E13</f>
        <v>0.2047155160242835</v>
      </c>
      <c r="N14" s="13">
        <f>L14+N13</f>
        <v>21290.0</v>
      </c>
      <c r="O14" s="15">
        <f>J14/7*27</f>
        <v>352600.71428571426</v>
      </c>
      <c r="P14" s="11">
        <f>J14/7*27/400163</f>
        <v>0.8811427200558629</v>
      </c>
    </row>
    <row r="15" spans="8:8" ht="15.05">
      <c r="A15" s="7">
        <f>IF(B15="","",ROW(9:11))</f>
        <v>9.0</v>
      </c>
      <c r="B15" s="8" t="s">
        <v>63</v>
      </c>
      <c r="C15" s="9">
        <v>86.0</v>
      </c>
      <c r="D15" s="10">
        <v>50000.0</v>
      </c>
      <c r="E15" s="9">
        <v>31475.0</v>
      </c>
      <c r="F15" s="9">
        <v>70.0</v>
      </c>
      <c r="G15" s="11">
        <f>F15/C15</f>
        <v>0.813953488372093</v>
      </c>
      <c r="H15" s="18">
        <f>142/F15</f>
        <v>2.0285714285714285</v>
      </c>
      <c r="I15" s="9">
        <v>15044.0</v>
      </c>
      <c r="J15" s="13">
        <f>I15+J14</f>
        <v>106459.0</v>
      </c>
      <c r="K15" s="14">
        <f>J15/400163</f>
        <v>0.2660390890712035</v>
      </c>
      <c r="L15" s="13">
        <f>E14-I15</f>
        <v>665.0</v>
      </c>
      <c r="M15" s="11">
        <f>L15/E14</f>
        <v>0.04233242090521357</v>
      </c>
      <c r="N15" s="13">
        <f>L15+N14</f>
        <v>21955.0</v>
      </c>
      <c r="O15" s="15">
        <f>J15/8*27</f>
        <v>359299.125</v>
      </c>
      <c r="P15" s="11">
        <f>J15/8*27/400163</f>
        <v>0.8978819256153118</v>
      </c>
    </row>
    <row r="16" spans="8:8" ht="15.05">
      <c r="A16" s="7">
        <f>IF(B16="","",ROW(10:12))</f>
        <v>10.0</v>
      </c>
      <c r="B16" s="8" t="s">
        <v>64</v>
      </c>
      <c r="C16" s="9">
        <v>65.0</v>
      </c>
      <c r="D16" s="10">
        <v>30000.0</v>
      </c>
      <c r="E16" s="9">
        <v>22570.0</v>
      </c>
      <c r="F16" s="9">
        <v>55.0</v>
      </c>
      <c r="G16" s="11">
        <f>F16/C16</f>
        <v>0.8461538461538461</v>
      </c>
      <c r="H16" s="18">
        <f>102/F16</f>
        <v>1.8545454545454545</v>
      </c>
      <c r="I16" s="13">
        <f>37653-11000</f>
        <v>26653.0</v>
      </c>
      <c r="J16" s="13">
        <f>I16+J15</f>
        <v>133112.0</v>
      </c>
      <c r="K16" s="14">
        <f>J16/400163</f>
        <v>0.3326444473876895</v>
      </c>
      <c r="L16" s="13">
        <f>E15-I16</f>
        <v>4822.0</v>
      </c>
      <c r="M16" s="11">
        <f>L16/E15</f>
        <v>0.15320095313741064</v>
      </c>
      <c r="N16" s="13">
        <f>L16+N15</f>
        <v>26777.0</v>
      </c>
      <c r="O16" s="15">
        <f>J16/9*27</f>
        <v>399336.0</v>
      </c>
      <c r="P16" s="11">
        <f>J16/9*27/400163</f>
        <v>0.9979333421630685</v>
      </c>
    </row>
    <row r="17" spans="8:8" ht="15.05">
      <c r="A17" s="7">
        <f>IF(B17="","",ROW(11:13))</f>
        <v>11.0</v>
      </c>
      <c r="B17" s="8" t="s">
        <v>65</v>
      </c>
      <c r="C17" s="9">
        <v>76.0</v>
      </c>
      <c r="D17" s="10">
        <v>30000.0</v>
      </c>
      <c r="E17" s="9">
        <v>22930.0</v>
      </c>
      <c r="F17" s="9">
        <v>50.0</v>
      </c>
      <c r="G17" s="11">
        <f>F17/C17</f>
        <v>0.6578947368421053</v>
      </c>
      <c r="H17" s="18">
        <f>92/F17</f>
        <v>1.84</v>
      </c>
      <c r="I17" s="9">
        <f>26850-9000</f>
        <v>17850.0</v>
      </c>
      <c r="J17" s="13">
        <f>I17+J16</f>
        <v>150962.0</v>
      </c>
      <c r="K17" s="14">
        <f>J17/400163</f>
        <v>0.3772512701074312</v>
      </c>
      <c r="L17" s="13">
        <f>E16-I17</f>
        <v>4720.0</v>
      </c>
      <c r="M17" s="11">
        <f>L17/E16</f>
        <v>0.20912715994683206</v>
      </c>
      <c r="N17" s="13">
        <f>L17+N16</f>
        <v>31497.0</v>
      </c>
      <c r="O17" s="15">
        <f>J17/10*27</f>
        <v>407597.4</v>
      </c>
      <c r="P17" s="11">
        <f>J17/10*27/400163</f>
        <v>1.0185784292900644</v>
      </c>
    </row>
    <row r="18" spans="8:8" ht="15.05">
      <c r="A18" s="7">
        <f>IF(B18="","",ROW(12:14))</f>
        <v>12.0</v>
      </c>
      <c r="B18" s="8" t="s">
        <v>66</v>
      </c>
      <c r="C18" s="9">
        <v>68.0</v>
      </c>
      <c r="D18" s="10">
        <v>30000.0</v>
      </c>
      <c r="E18" s="9">
        <v>16012.0</v>
      </c>
      <c r="F18" s="9">
        <v>40.0</v>
      </c>
      <c r="G18" s="11">
        <f>F18/C18</f>
        <v>0.5882352941176471</v>
      </c>
      <c r="H18" s="18">
        <f>112/F18</f>
        <v>2.8</v>
      </c>
      <c r="I18" s="9">
        <f>22368-5000</f>
        <v>17368.0</v>
      </c>
      <c r="J18" s="13">
        <f>I18+J17</f>
        <v>168330.0</v>
      </c>
      <c r="K18" s="14">
        <f>J18/400163</f>
        <v>0.42065358366465666</v>
      </c>
      <c r="L18" s="13">
        <f>E17-I18</f>
        <v>5562.0</v>
      </c>
      <c r="M18" s="11">
        <f>L18/E17</f>
        <v>0.24256432621020496</v>
      </c>
      <c r="N18" s="13">
        <f>L18+N17</f>
        <v>37059.0</v>
      </c>
      <c r="O18" s="15">
        <f>J18/11*27</f>
        <v>413173.63636363635</v>
      </c>
      <c r="P18" s="11">
        <f>J18/11*27/400163</f>
        <v>1.032513341722339</v>
      </c>
    </row>
    <row r="19" spans="8:8" ht="15.05">
      <c r="A19" s="7" t="str">
        <f>IF(B19="","",ROW(13:15))</f>
        <v/>
      </c>
      <c r="B19" s="15"/>
      <c r="C19" s="13"/>
      <c r="D19" s="16"/>
      <c r="E19" s="13"/>
      <c r="F19" s="13"/>
      <c r="G19" s="11"/>
      <c r="H19" s="13"/>
      <c r="I19" s="13"/>
      <c r="J19" s="15"/>
      <c r="K19" s="14"/>
      <c r="L19" s="13"/>
      <c r="M19" s="11"/>
      <c r="N19" s="13"/>
      <c r="O19" s="17"/>
      <c r="P19" s="11"/>
    </row>
    <row r="20" spans="8:8" ht="15.05">
      <c r="A20" s="7">
        <f>IF(B20="","",ROW(14:16))</f>
        <v>14.0</v>
      </c>
      <c r="B20" s="8" t="s">
        <v>67</v>
      </c>
      <c r="C20" s="9">
        <v>85.0</v>
      </c>
      <c r="D20" s="10">
        <v>30000.0</v>
      </c>
      <c r="E20" s="9">
        <v>23565.0</v>
      </c>
      <c r="F20" s="9">
        <v>52.0</v>
      </c>
      <c r="G20" s="11">
        <f>F20/C20</f>
        <v>0.611764705882353</v>
      </c>
      <c r="H20" s="18">
        <f>112/F20</f>
        <v>2.1538461538461537</v>
      </c>
      <c r="I20" s="13">
        <v>12717.0</v>
      </c>
      <c r="J20" s="15">
        <f>I20+J18</f>
        <v>181047.0</v>
      </c>
      <c r="K20" s="14">
        <f>J20/400163</f>
        <v>0.45243313349809955</v>
      </c>
      <c r="L20" s="13">
        <f>E18-I20</f>
        <v>3295.0</v>
      </c>
      <c r="M20" s="11">
        <f>L20/E18</f>
        <v>0.20578316262802898</v>
      </c>
      <c r="N20" s="13">
        <f>L20+N18</f>
        <v>40354.0</v>
      </c>
      <c r="O20" s="15">
        <f>J20/12*27</f>
        <v>407355.75</v>
      </c>
      <c r="P20" s="11">
        <f>J20/12*27/400163</f>
        <v>1.017974550370724</v>
      </c>
    </row>
    <row r="21" spans="8:8" ht="15.05">
      <c r="A21" s="7">
        <f>IF(B21="","",ROW(15:17))</f>
        <v>15.0</v>
      </c>
      <c r="B21" s="8" t="s">
        <v>68</v>
      </c>
      <c r="C21" s="9">
        <v>72.0</v>
      </c>
      <c r="D21" s="10">
        <v>30000.0</v>
      </c>
      <c r="E21" s="9">
        <v>23345.0</v>
      </c>
      <c r="F21" s="9">
        <v>53.0</v>
      </c>
      <c r="G21" s="11">
        <f>F21/C21</f>
        <v>0.7361111111111112</v>
      </c>
      <c r="H21" s="18">
        <f>110/F21</f>
        <v>2.0754716981132075</v>
      </c>
      <c r="I21" s="9">
        <v>18555.0</v>
      </c>
      <c r="J21" s="13">
        <f>I21+J20</f>
        <v>199602.0</v>
      </c>
      <c r="K21" s="14">
        <f>J21/400163</f>
        <v>0.49880173829164615</v>
      </c>
      <c r="L21" s="13">
        <f>E20-I21</f>
        <v>5010.0</v>
      </c>
      <c r="M21" s="11">
        <f>L21/E20</f>
        <v>0.2126034373010821</v>
      </c>
      <c r="N21" s="13">
        <f>L21+N20</f>
        <v>45364.0</v>
      </c>
      <c r="O21" s="15">
        <f>J21/13*27</f>
        <v>414558.0</v>
      </c>
      <c r="P21" s="11">
        <f>J21/13*27/400163</f>
        <v>1.035972841067265</v>
      </c>
    </row>
    <row r="22" spans="8:8" ht="15.05">
      <c r="A22" s="7">
        <f>IF(B22="","",ROW(16:18))</f>
        <v>16.0</v>
      </c>
      <c r="B22" s="8" t="s">
        <v>69</v>
      </c>
      <c r="C22" s="9">
        <v>86.0</v>
      </c>
      <c r="D22" s="10">
        <v>50000.0</v>
      </c>
      <c r="E22" s="9">
        <v>24207.0</v>
      </c>
      <c r="F22" s="9">
        <v>60.0</v>
      </c>
      <c r="G22" s="11">
        <f>F22/C22</f>
        <v>0.6976744186046512</v>
      </c>
      <c r="H22" s="18">
        <f>150/F22</f>
        <v>2.5</v>
      </c>
      <c r="I22" s="9">
        <f>27265-9000</f>
        <v>18265.0</v>
      </c>
      <c r="J22" s="13">
        <f>I22+J21</f>
        <v>217867.0</v>
      </c>
      <c r="K22" s="14">
        <f>J22/400163</f>
        <v>0.544445638402351</v>
      </c>
      <c r="L22" s="13">
        <f>E21-I22</f>
        <v>5080.0</v>
      </c>
      <c r="M22" s="11">
        <f>L22/E21</f>
        <v>0.2176054829727993</v>
      </c>
      <c r="N22" s="13">
        <f>L22+N21</f>
        <v>50444.0</v>
      </c>
      <c r="O22" s="15">
        <f>J22/14*27</f>
        <v>420172.0714285714</v>
      </c>
      <c r="P22" s="11">
        <f>J22/14*27/400163</f>
        <v>1.0500023026331056</v>
      </c>
    </row>
    <row r="23" spans="8:8" ht="15.05">
      <c r="A23" s="7">
        <f>IF(B23="","",ROW(17:19))</f>
        <v>17.0</v>
      </c>
      <c r="B23" s="8" t="s">
        <v>70</v>
      </c>
      <c r="C23" s="9">
        <v>65.0</v>
      </c>
      <c r="D23" s="10">
        <v>30000.0</v>
      </c>
      <c r="E23" s="9">
        <v>20325.0</v>
      </c>
      <c r="F23" s="9">
        <v>50.0</v>
      </c>
      <c r="G23" s="11">
        <f>F23/C23</f>
        <v>0.7692307692307693</v>
      </c>
      <c r="H23" s="19">
        <f>110/F23</f>
        <v>2.2</v>
      </c>
      <c r="I23" s="13">
        <f>25302-6000</f>
        <v>19302.0</v>
      </c>
      <c r="J23" s="13">
        <f>I23+J22</f>
        <v>237169.0</v>
      </c>
      <c r="K23" s="14">
        <f>J23/400163</f>
        <v>0.5926809824996314</v>
      </c>
      <c r="L23" s="13">
        <f>E22-I23</f>
        <v>4905.0</v>
      </c>
      <c r="M23" s="11">
        <f>L23/E22</f>
        <v>0.20262733919940512</v>
      </c>
      <c r="N23" s="13">
        <f>L23+N22</f>
        <v>55349.0</v>
      </c>
      <c r="O23" s="15">
        <f>J23/15*27</f>
        <v>426904.2</v>
      </c>
      <c r="P23" s="11">
        <f>J23/15*27/400163</f>
        <v>1.0668257684993365</v>
      </c>
    </row>
    <row r="24" spans="8:8" ht="15.05">
      <c r="A24" s="7">
        <f>IF(B24="","",ROW(18:20))</f>
        <v>18.0</v>
      </c>
      <c r="B24" s="8" t="s">
        <v>71</v>
      </c>
      <c r="C24" s="9">
        <v>76.0</v>
      </c>
      <c r="D24" s="10">
        <v>30000.0</v>
      </c>
      <c r="E24" s="9">
        <v>12105.0</v>
      </c>
      <c r="F24" s="9">
        <v>40.0</v>
      </c>
      <c r="G24" s="11">
        <f>F24/C24</f>
        <v>0.5263157894736842</v>
      </c>
      <c r="H24" s="18">
        <f>92/F24</f>
        <v>2.3</v>
      </c>
      <c r="I24" s="9">
        <v>18405.0</v>
      </c>
      <c r="J24" s="13">
        <f>I24+J23</f>
        <v>255574.0</v>
      </c>
      <c r="K24" s="14">
        <f>J24/400163</f>
        <v>0.6386747400434323</v>
      </c>
      <c r="L24" s="13">
        <f>E23-I24</f>
        <v>1920.0</v>
      </c>
      <c r="M24" s="11">
        <f>L24/E23</f>
        <v>0.09446494464944649</v>
      </c>
      <c r="N24" s="13">
        <f>L24+N23</f>
        <v>57269.0</v>
      </c>
      <c r="O24" s="15">
        <f>J24/16*27</f>
        <v>431281.125</v>
      </c>
      <c r="P24" s="11">
        <f>J24/16*27/400163</f>
        <v>1.077763623823292</v>
      </c>
    </row>
    <row r="25" spans="8:8" ht="15.05">
      <c r="A25" s="7">
        <f>IF(B25="","",ROW(19:21))</f>
        <v>19.0</v>
      </c>
      <c r="B25" s="8" t="s">
        <v>72</v>
      </c>
      <c r="C25" s="9">
        <v>68.0</v>
      </c>
      <c r="D25" s="10">
        <v>30000.0</v>
      </c>
      <c r="E25" s="13">
        <v>12204.0</v>
      </c>
      <c r="F25" s="9">
        <v>40.0</v>
      </c>
      <c r="G25" s="11">
        <f>F25/C25</f>
        <v>0.5882352941176471</v>
      </c>
      <c r="H25" s="18">
        <f>112/F25</f>
        <v>2.8</v>
      </c>
      <c r="I25" s="9">
        <v>9275.0</v>
      </c>
      <c r="J25" s="13">
        <f>I25+J24</f>
        <v>264849.0</v>
      </c>
      <c r="K25" s="14">
        <f>J25/400163</f>
        <v>0.6618527949860432</v>
      </c>
      <c r="L25" s="13">
        <f>E24-I25</f>
        <v>2830.0</v>
      </c>
      <c r="M25" s="11">
        <f>L25/E24</f>
        <v>0.23378769103676167</v>
      </c>
      <c r="N25" s="13">
        <f>L25+N24</f>
        <v>60099.0</v>
      </c>
      <c r="O25" s="15">
        <f>J25/17*27</f>
        <v>420642.5294117647</v>
      </c>
      <c r="P25" s="11">
        <f>J25/17*27/400163</f>
        <v>1.051177968507245</v>
      </c>
    </row>
    <row r="26" spans="8:8" ht="14.45">
      <c r="A26" s="7" t="str">
        <f>IF(B26="","",ROW(20:22))</f>
        <v/>
      </c>
      <c r="B26" s="15"/>
      <c r="C26" s="13"/>
      <c r="D26" s="16"/>
      <c r="E26" s="13"/>
      <c r="F26" s="13"/>
      <c r="G26" s="11"/>
      <c r="H26" s="15"/>
      <c r="I26" s="13"/>
      <c r="J26" s="15"/>
      <c r="K26" s="14"/>
      <c r="L26" s="13"/>
      <c r="M26" s="11"/>
      <c r="N26" s="13"/>
      <c r="O26" s="17"/>
      <c r="P26" s="11"/>
    </row>
    <row r="27" spans="8:8" ht="15.05">
      <c r="A27" s="7">
        <f>IF(B27="","",ROW(21:23))</f>
        <v>21.0</v>
      </c>
      <c r="B27" s="8" t="s">
        <v>73</v>
      </c>
      <c r="C27" s="9">
        <v>85.0</v>
      </c>
      <c r="D27" s="10"/>
      <c r="E27" s="9"/>
      <c r="F27" s="9"/>
      <c r="G27" s="11">
        <f>F27/C27</f>
        <v>0.0</v>
      </c>
      <c r="H27" s="19" t="e">
        <f>110/F27</f>
        <v>#DIV/0!</v>
      </c>
      <c r="I27" s="13">
        <v>7001.0</v>
      </c>
      <c r="J27" s="15">
        <f>I27+J25</f>
        <v>271850.0</v>
      </c>
      <c r="K27" s="14">
        <f>J27/400163</f>
        <v>0.6793481656225089</v>
      </c>
      <c r="L27" s="13">
        <f>E25-I27</f>
        <v>5203.0</v>
      </c>
      <c r="M27" s="11">
        <f>L27/E25</f>
        <v>0.42633562766306127</v>
      </c>
      <c r="N27" s="13">
        <f>L27+N25</f>
        <v>65302.0</v>
      </c>
      <c r="O27" s="15">
        <f>J27/18*27</f>
        <v>407775.0</v>
      </c>
      <c r="P27" s="11">
        <f>J27/18*27/400163</f>
        <v>1.0190222484337632</v>
      </c>
    </row>
    <row r="28" spans="8:8" ht="15.05">
      <c r="A28" s="7">
        <f>IF(B28="","",ROW(22:24))</f>
        <v>22.0</v>
      </c>
      <c r="B28" s="8" t="s">
        <v>74</v>
      </c>
      <c r="C28" s="9">
        <v>72.0</v>
      </c>
      <c r="D28" s="10"/>
      <c r="E28" s="9"/>
      <c r="F28" s="9"/>
      <c r="G28" s="11">
        <f>F28/C28</f>
        <v>0.0</v>
      </c>
      <c r="H28" s="18" t="e">
        <f>112/F28</f>
        <v>#DIV/0!</v>
      </c>
      <c r="I28" s="9"/>
      <c r="J28" s="13">
        <f>I28+J27</f>
        <v>271850.0</v>
      </c>
      <c r="K28" s="14">
        <f>J28/400163</f>
        <v>0.6793481656225089</v>
      </c>
      <c r="L28" s="13">
        <f>E27-I28</f>
        <v>0.0</v>
      </c>
      <c r="M28" s="11" t="e">
        <f>L28/E27</f>
        <v>#DIV/0!</v>
      </c>
      <c r="N28" s="13">
        <f>L28+N27</f>
        <v>65302.0</v>
      </c>
      <c r="O28" s="15">
        <f>J28/19*27</f>
        <v>386313.15789473685</v>
      </c>
      <c r="P28" s="11">
        <f>J28/19*27/400163</f>
        <v>0.9653894985161968</v>
      </c>
    </row>
    <row r="29" spans="8:8" ht="15.05">
      <c r="A29" s="7">
        <f>IF(B29="","",ROW(23:25))</f>
        <v>23.0</v>
      </c>
      <c r="B29" s="8" t="s">
        <v>75</v>
      </c>
      <c r="C29" s="9">
        <v>86.0</v>
      </c>
      <c r="D29" s="10"/>
      <c r="E29" s="9"/>
      <c r="F29" s="9"/>
      <c r="G29" s="11">
        <f>F29/C29</f>
        <v>0.0</v>
      </c>
      <c r="H29" s="15" t="e">
        <f>162/F29</f>
        <v>#DIV/0!</v>
      </c>
      <c r="I29" s="9"/>
      <c r="J29" s="13">
        <f>I29+J28</f>
        <v>271850.0</v>
      </c>
      <c r="K29" s="14">
        <f>J29/400163</f>
        <v>0.6793481656225089</v>
      </c>
      <c r="L29" s="13">
        <f>E28-I29</f>
        <v>0.0</v>
      </c>
      <c r="M29" s="11" t="e">
        <f>L29/E28</f>
        <v>#DIV/0!</v>
      </c>
      <c r="N29" s="13">
        <f>L29+N28</f>
        <v>65302.0</v>
      </c>
      <c r="O29" s="15">
        <f>J29/20*27</f>
        <v>366997.5</v>
      </c>
      <c r="P29" s="11">
        <f>J29/20*27/400163</f>
        <v>0.9171200235903869</v>
      </c>
    </row>
    <row r="30" spans="8:8" ht="15.05">
      <c r="A30" s="7">
        <f>IF(B30="","",ROW(24:26))</f>
        <v>24.0</v>
      </c>
      <c r="B30" s="8" t="s">
        <v>76</v>
      </c>
      <c r="C30" s="9">
        <v>65.0</v>
      </c>
      <c r="D30" s="10"/>
      <c r="E30" s="9"/>
      <c r="F30" s="9"/>
      <c r="G30" s="11">
        <f>F30/C30</f>
        <v>0.0</v>
      </c>
      <c r="H30" s="20" t="e">
        <f>115/F30</f>
        <v>#DIV/0!</v>
      </c>
      <c r="I30" s="9"/>
      <c r="J30" s="13">
        <f>I30+J29</f>
        <v>271850.0</v>
      </c>
      <c r="K30" s="14">
        <f>J30/400163</f>
        <v>0.6793481656225089</v>
      </c>
      <c r="L30" s="13">
        <f>E29-I30</f>
        <v>0.0</v>
      </c>
      <c r="M30" s="11" t="e">
        <f>L30/E29</f>
        <v>#DIV/0!</v>
      </c>
      <c r="N30" s="13">
        <f>L30+N29</f>
        <v>65302.0</v>
      </c>
      <c r="O30" s="15">
        <f>J30/21*27</f>
        <v>349521.4285714286</v>
      </c>
      <c r="P30" s="11">
        <f>J30/21*27/400163</f>
        <v>0.8734476415146543</v>
      </c>
    </row>
    <row r="31" spans="8:8" ht="15.05">
      <c r="A31" s="7">
        <f>IF(B31="","",ROW(25:27))</f>
        <v>25.0</v>
      </c>
      <c r="B31" s="8" t="s">
        <v>77</v>
      </c>
      <c r="C31" s="9">
        <v>76.0</v>
      </c>
      <c r="D31" s="10">
        <v>20000.0</v>
      </c>
      <c r="E31" s="9">
        <v>15005.0</v>
      </c>
      <c r="F31" s="9">
        <v>40.0</v>
      </c>
      <c r="G31" s="11">
        <f>F31/C31</f>
        <v>0.5263157894736842</v>
      </c>
      <c r="H31" s="20">
        <f>92/F31</f>
        <v>2.3</v>
      </c>
      <c r="I31" s="9"/>
      <c r="J31" s="13">
        <f>I31+J30</f>
        <v>271850.0</v>
      </c>
      <c r="K31" s="14">
        <f>J31/400163</f>
        <v>0.6793481656225089</v>
      </c>
      <c r="L31" s="13">
        <f>E30-I31</f>
        <v>0.0</v>
      </c>
      <c r="M31" s="11" t="e">
        <f>L31/E30</f>
        <v>#DIV/0!</v>
      </c>
      <c r="N31" s="13">
        <f>L31+N30</f>
        <v>65302.0</v>
      </c>
      <c r="O31" s="15">
        <f>J31/22*27</f>
        <v>333634.09090909094</v>
      </c>
      <c r="P31" s="11">
        <f>J31/22*27/400163</f>
        <v>0.8337454759912609</v>
      </c>
    </row>
    <row r="32" spans="8:8" ht="15.05">
      <c r="A32" s="7">
        <f>IF(B32="","",ROW(26:28))</f>
        <v>26.0</v>
      </c>
      <c r="B32" s="15" t="s">
        <v>79</v>
      </c>
      <c r="C32" s="13">
        <v>68.0</v>
      </c>
      <c r="D32" s="21">
        <v>20000.0</v>
      </c>
      <c r="E32" s="13">
        <v>15145.0</v>
      </c>
      <c r="F32" s="13">
        <v>50.0</v>
      </c>
      <c r="G32" s="11">
        <f>F32/C32</f>
        <v>0.7352941176470589</v>
      </c>
      <c r="H32" s="22">
        <f>102/F32</f>
        <v>2.04</v>
      </c>
      <c r="I32" s="23">
        <v>12000.0</v>
      </c>
      <c r="J32" s="13">
        <f>I32+J31</f>
        <v>283850.0</v>
      </c>
      <c r="K32" s="14">
        <f>J32/400163</f>
        <v>0.7093359456021671</v>
      </c>
      <c r="L32" s="13">
        <f>E31-I32</f>
        <v>3005.0</v>
      </c>
      <c r="M32" s="11">
        <f>L32/E31</f>
        <v>0.20026657780739754</v>
      </c>
      <c r="N32" s="13">
        <f>L32+N31</f>
        <v>68307.0</v>
      </c>
      <c r="O32" s="15">
        <f>J32/23*27</f>
        <v>333215.2173913043</v>
      </c>
      <c r="P32" s="11">
        <f>J32/23*27/400163</f>
        <v>0.83269871875037</v>
      </c>
    </row>
    <row r="33" spans="8:8" ht="14.45" customFormat="1">
      <c r="A33" s="7" t="str">
        <f>IF(B33="","",ROW(27:29))</f>
        <v/>
      </c>
      <c r="B33" s="15"/>
      <c r="C33" s="13"/>
      <c r="D33" s="21"/>
      <c r="E33" s="13"/>
      <c r="F33" s="13"/>
      <c r="G33" s="11"/>
      <c r="H33" s="15"/>
      <c r="I33" s="23"/>
      <c r="J33" s="13"/>
      <c r="K33" s="14"/>
      <c r="L33" s="13"/>
      <c r="M33" s="13"/>
      <c r="N33" s="13"/>
      <c r="O33" s="15"/>
      <c r="P33" s="13"/>
    </row>
    <row r="34" spans="8:8" ht="15.05" customFormat="1">
      <c r="A34" s="7">
        <f>IF(B34="","",ROW(28:30))</f>
        <v>28.0</v>
      </c>
      <c r="B34" s="15" t="s">
        <v>81</v>
      </c>
      <c r="C34" s="13">
        <v>85.0</v>
      </c>
      <c r="D34" s="21">
        <v>30000.0</v>
      </c>
      <c r="E34" s="13">
        <v>22145.0</v>
      </c>
      <c r="F34" s="13">
        <v>60.0</v>
      </c>
      <c r="G34" s="11">
        <f>F34/C34</f>
        <v>0.7058823529411765</v>
      </c>
      <c r="H34" s="24">
        <f>122/F34</f>
        <v>2.033333333333333</v>
      </c>
      <c r="I34" s="23">
        <v>12762.0</v>
      </c>
      <c r="J34" s="15">
        <f>I34+J32</f>
        <v>296612.0</v>
      </c>
      <c r="K34" s="14">
        <f>J34/400163</f>
        <v>0.7412279496105337</v>
      </c>
      <c r="L34" s="13">
        <f>E32-I34</f>
        <v>2383.0</v>
      </c>
      <c r="M34" s="11">
        <f>L34/E32</f>
        <v>0.1573456586332123</v>
      </c>
      <c r="N34" s="13">
        <f>L34+N32</f>
        <v>70690.0</v>
      </c>
      <c r="O34" s="15">
        <f>J34/24*27</f>
        <v>333688.5</v>
      </c>
      <c r="P34" s="11">
        <f>J34/24*27/400163</f>
        <v>0.8338814433118504</v>
      </c>
    </row>
    <row r="35" spans="8:8" ht="15.05" customFormat="1">
      <c r="A35" s="7">
        <f>IF(B35="","",ROW(29:31))</f>
        <v>29.0</v>
      </c>
      <c r="B35" s="8" t="s">
        <v>74</v>
      </c>
      <c r="C35" s="9">
        <v>72.0</v>
      </c>
      <c r="D35" s="21">
        <v>20000.0</v>
      </c>
      <c r="E35" s="13">
        <v>18031.0</v>
      </c>
      <c r="F35" s="13">
        <v>50.0</v>
      </c>
      <c r="G35" s="11">
        <f>F35/C35</f>
        <v>0.6944444444444444</v>
      </c>
      <c r="H35" s="24">
        <f>122/F35</f>
        <v>2.44</v>
      </c>
      <c r="I35" s="23">
        <f>22467-5000</f>
        <v>17467.0</v>
      </c>
      <c r="J35" s="13">
        <f>I35+J34</f>
        <v>314079.0</v>
      </c>
      <c r="K35" s="14">
        <f>J35/400163</f>
        <v>0.7848776623525913</v>
      </c>
      <c r="L35" s="13">
        <f>E34-I35</f>
        <v>4678.0</v>
      </c>
      <c r="M35" s="11">
        <f>L35/E34</f>
        <v>0.21124407315421087</v>
      </c>
      <c r="N35" s="13">
        <f>L35+N34</f>
        <v>75368.0</v>
      </c>
      <c r="O35" s="15">
        <f>J35/25*27</f>
        <v>339205.32</v>
      </c>
      <c r="P35" s="11">
        <f>J35/25*27/400163</f>
        <v>0.8476678753407987</v>
      </c>
    </row>
    <row r="36" spans="8:8" ht="15.05" customFormat="1">
      <c r="A36" s="7">
        <f>IF(B36="","",ROW(30:32))</f>
        <v>30.0</v>
      </c>
      <c r="B36" s="8" t="s">
        <v>75</v>
      </c>
      <c r="C36" s="9">
        <v>86.0</v>
      </c>
      <c r="D36" s="21">
        <v>30000.0</v>
      </c>
      <c r="E36" s="13">
        <v>42000.0</v>
      </c>
      <c r="F36" s="13">
        <v>70.0</v>
      </c>
      <c r="G36" s="11">
        <f>F36/C36</f>
        <v>0.813953488372093</v>
      </c>
      <c r="H36" s="24">
        <f>122/F36</f>
        <v>1.7428571428571429</v>
      </c>
      <c r="I36" s="23">
        <v>13208.0</v>
      </c>
      <c r="J36" s="13">
        <f>I36+J35</f>
        <v>327287.0</v>
      </c>
      <c r="K36" s="14">
        <f>J36/400163</f>
        <v>0.8178842121835352</v>
      </c>
      <c r="L36" s="13">
        <f>E35-I36</f>
        <v>4823.0</v>
      </c>
      <c r="M36" s="11">
        <f>L36/E35</f>
        <v>0.26748377793799566</v>
      </c>
      <c r="N36" s="13">
        <f>L36+N35</f>
        <v>80191.0</v>
      </c>
      <c r="O36" s="15">
        <f>J36/26*27</f>
        <v>339874.96153846156</v>
      </c>
      <c r="P36" s="11">
        <f>J36/26*27/400163</f>
        <v>0.8493412972675174</v>
      </c>
    </row>
    <row r="37" spans="8:8" ht="15.05" customFormat="1">
      <c r="A37" s="7">
        <f>IF(B37="","",ROW(31:33))</f>
        <v>31.0</v>
      </c>
      <c r="B37" s="8" t="s">
        <v>76</v>
      </c>
      <c r="C37" s="9">
        <v>65.0</v>
      </c>
      <c r="D37" s="21">
        <v>20000.0</v>
      </c>
      <c r="E37" s="13">
        <v>20083.0</v>
      </c>
      <c r="F37" s="13">
        <v>50.0</v>
      </c>
      <c r="G37" s="11">
        <f>F37/C37</f>
        <v>0.7692307692307693</v>
      </c>
      <c r="H37" s="24">
        <f>122/F37</f>
        <v>2.44</v>
      </c>
      <c r="I37" s="23">
        <v>37394.0</v>
      </c>
      <c r="J37" s="28">
        <f>I37+J36</f>
        <v>364681.0</v>
      </c>
      <c r="K37" s="14">
        <f>J37/400163</f>
        <v>0.9113311325634804</v>
      </c>
      <c r="L37" s="13">
        <f>E36-I37</f>
        <v>4606.0</v>
      </c>
      <c r="M37" s="11">
        <f>L37/E36</f>
        <v>0.10966666666666666</v>
      </c>
      <c r="N37" s="13">
        <f>L37+N36</f>
        <v>84797.0</v>
      </c>
      <c r="O37" s="15">
        <f>J37/27*27</f>
        <v>364681.0</v>
      </c>
      <c r="P37" s="11">
        <f>J37/27*27/400163</f>
        <v>0.9113311325634804</v>
      </c>
    </row>
    <row r="38" spans="8:8" ht="14.45">
      <c r="A38" s="25" t="s">
        <v>78</v>
      </c>
      <c r="B38" s="15"/>
      <c r="C38" s="13"/>
      <c r="D38" s="16"/>
      <c r="E38" s="16"/>
      <c r="F38" s="13"/>
      <c r="G38" s="13"/>
      <c r="H38" s="15"/>
      <c r="I38" s="29"/>
      <c r="J38" s="30"/>
      <c r="K38" s="31"/>
      <c r="L38" s="13"/>
      <c r="M38" s="13"/>
      <c r="N38" s="13"/>
      <c r="O38" s="15"/>
      <c r="P38" s="13"/>
    </row>
    <row r="39" spans="8:8" ht="14.45">
      <c r="J39" s="32"/>
    </row>
  </sheetData>
  <mergeCells count="18">
    <mergeCell ref="A1:N3"/>
    <mergeCell ref="L4:N4"/>
    <mergeCell ref="A4:B4"/>
    <mergeCell ref="M5:M6"/>
    <mergeCell ref="P5:P6"/>
    <mergeCell ref="B5:B6"/>
    <mergeCell ref="H4:K4"/>
    <mergeCell ref="L5:L6"/>
    <mergeCell ref="N5:N6"/>
    <mergeCell ref="O5:O6"/>
    <mergeCell ref="C5:C6"/>
    <mergeCell ref="A5:A6"/>
    <mergeCell ref="I5:K5"/>
    <mergeCell ref="H5:H6"/>
    <mergeCell ref="G5:G6"/>
    <mergeCell ref="E5:E6"/>
    <mergeCell ref="F5:F6"/>
    <mergeCell ref="D5:D6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AZ54"/>
  <sheetViews>
    <sheetView tabSelected="1" workbookViewId="0" zoomScale="70">
      <pane xSplit="2" ySplit="6" topLeftCell="D7" state="frozen" activePane="bottomRight"/>
      <selection pane="bottomRight" activeCell="F10" sqref="F10"/>
    </sheetView>
  </sheetViews>
  <sheetFormatPr defaultRowHeight="14.25" defaultColWidth="10"/>
  <cols>
    <col min="2" max="2" customWidth="1" width="11.3984375" style="0"/>
    <col min="3" max="3" customWidth="1" width="10.214844" style="0"/>
    <col min="8" max="8" customWidth="1" width="9.0" style="0"/>
    <col min="14" max="14" customWidth="1" bestFit="1" width="12.796875" style="0"/>
    <col min="15" max="15" customWidth="1" bestFit="1" width="10.8984375" style="0"/>
  </cols>
  <sheetData>
    <row r="1" spans="8:8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spans="8: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 spans="8: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</row>
    <row r="4" spans="8:8">
      <c r="A4" s="3" t="s">
        <v>30</v>
      </c>
      <c r="B4" s="3"/>
      <c r="C4" s="3" t="s">
        <v>31</v>
      </c>
      <c r="D4" s="3"/>
      <c r="E4" s="3"/>
      <c r="F4" s="3"/>
      <c r="G4" s="3"/>
      <c r="H4" s="3" t="s">
        <v>32</v>
      </c>
      <c r="I4" s="3"/>
      <c r="J4" s="3"/>
      <c r="K4" s="3"/>
      <c r="L4" s="3" t="s">
        <v>33</v>
      </c>
      <c r="M4" s="3"/>
      <c r="N4" s="3"/>
      <c r="O4" s="2"/>
      <c r="P4" s="2"/>
    </row>
    <row r="5" spans="8:8" ht="25.5">
      <c r="A5" s="4" t="s">
        <v>34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/>
      <c r="K5" s="5"/>
      <c r="L5" s="5" t="s">
        <v>43</v>
      </c>
      <c r="M5" s="5" t="s">
        <v>44</v>
      </c>
      <c r="N5" s="5" t="s">
        <v>45</v>
      </c>
      <c r="O5" s="6" t="s">
        <v>46</v>
      </c>
      <c r="P5" s="4" t="s">
        <v>47</v>
      </c>
    </row>
    <row r="6" spans="8:8">
      <c r="A6" s="4"/>
      <c r="B6" s="5"/>
      <c r="C6" s="5"/>
      <c r="D6" s="5"/>
      <c r="E6" s="5"/>
      <c r="F6" s="5"/>
      <c r="G6" s="5"/>
      <c r="H6" s="5"/>
      <c r="I6" s="4" t="s">
        <v>48</v>
      </c>
      <c r="J6" s="4" t="s">
        <v>49</v>
      </c>
      <c r="K6" s="4" t="s">
        <v>50</v>
      </c>
      <c r="L6" s="5"/>
      <c r="M6" s="5"/>
      <c r="N6" s="5"/>
      <c r="O6" s="6"/>
      <c r="P6" s="4"/>
    </row>
    <row r="7" spans="8:8" ht="15.05">
      <c r="A7" s="7">
        <f>IF(B7="","",ROW(1:3))</f>
        <v>1.0</v>
      </c>
      <c r="B7" s="8" t="s">
        <v>59</v>
      </c>
      <c r="C7" s="9">
        <v>76.0</v>
      </c>
      <c r="D7" s="10">
        <v>20000.0</v>
      </c>
      <c r="E7" s="13">
        <v>10007.0</v>
      </c>
      <c r="F7" s="9">
        <v>40.0</v>
      </c>
      <c r="G7" s="11">
        <f>F7/C7</f>
        <v>0.5263157894736842</v>
      </c>
      <c r="H7" s="18">
        <f>93/F7</f>
        <v>2.325</v>
      </c>
      <c r="I7" s="9">
        <v>14581.0</v>
      </c>
      <c r="J7" s="13">
        <f>I7</f>
        <v>14581.0</v>
      </c>
      <c r="K7" s="14">
        <f>J7/530069</f>
        <v>0.027507739558434847</v>
      </c>
      <c r="L7" s="13">
        <f>20083-I7</f>
        <v>5502.0</v>
      </c>
      <c r="M7" s="11">
        <f>L7/20083</f>
        <v>0.273963053328686</v>
      </c>
      <c r="N7" s="13">
        <f>L7</f>
        <v>5502.0</v>
      </c>
      <c r="O7" s="15">
        <f>J7/1*26</f>
        <v>379106.0</v>
      </c>
      <c r="P7" s="11">
        <f>J7/1*27/530069</f>
        <v>0.7427089680777408</v>
      </c>
    </row>
    <row r="8" spans="8:8" ht="15.05">
      <c r="A8" s="7">
        <f>IF(B8="","",ROW(2:4))</f>
        <v>2.0</v>
      </c>
      <c r="B8" s="8" t="s">
        <v>60</v>
      </c>
      <c r="C8" s="9">
        <v>68.0</v>
      </c>
      <c r="D8" s="10">
        <v>20000.0</v>
      </c>
      <c r="E8" s="13">
        <v>14635.0</v>
      </c>
      <c r="F8" s="9">
        <v>50.0</v>
      </c>
      <c r="G8" s="11">
        <f>F8/C8</f>
        <v>0.7352941176470589</v>
      </c>
      <c r="H8" s="18">
        <f>105/F8</f>
        <v>2.1</v>
      </c>
      <c r="I8" s="13">
        <v>7413.0</v>
      </c>
      <c r="J8" s="13">
        <f>I8+J7</f>
        <v>21994.0</v>
      </c>
      <c r="K8" s="14">
        <f>J8/530069</f>
        <v>0.0414927113262613</v>
      </c>
      <c r="L8" s="13">
        <f>E7-I8</f>
        <v>2594.0</v>
      </c>
      <c r="M8" s="11">
        <f>L8/E7</f>
        <v>0.259218547017088</v>
      </c>
      <c r="N8" s="13">
        <f>L8+N7</f>
        <v>8096.0</v>
      </c>
      <c r="O8" s="15">
        <f>J8/2*26</f>
        <v>285922.0</v>
      </c>
      <c r="P8" s="11">
        <f>J8/2*27/530069</f>
        <v>0.5601516029045275</v>
      </c>
    </row>
    <row r="9" spans="8:8" ht="15.05">
      <c r="A9" s="7" t="str">
        <f>IF(B9="","",ROW(3:5))</f>
        <v/>
      </c>
      <c r="B9" s="15"/>
      <c r="C9" s="13"/>
      <c r="D9" s="16"/>
      <c r="E9" s="13"/>
      <c r="F9" s="13"/>
      <c r="G9" s="11"/>
      <c r="H9" s="18"/>
      <c r="I9" s="13"/>
      <c r="J9" s="15"/>
      <c r="K9" s="14"/>
      <c r="L9" s="13"/>
      <c r="M9" s="11"/>
      <c r="N9" s="13"/>
      <c r="O9" s="17"/>
      <c r="P9" s="11"/>
    </row>
    <row r="10" spans="8:8" ht="15.05">
      <c r="A10" s="7">
        <f>IF(B10="","",ROW(4:6))</f>
        <v>4.0</v>
      </c>
      <c r="B10" s="8" t="s">
        <v>61</v>
      </c>
      <c r="C10" s="9">
        <v>85.0</v>
      </c>
      <c r="D10" s="10">
        <v>30000.0</v>
      </c>
      <c r="E10" s="9">
        <v>17067.0</v>
      </c>
      <c r="F10" s="9">
        <v>50.0</v>
      </c>
      <c r="G10" s="11">
        <f>F10/C10</f>
        <v>0.5882352941176471</v>
      </c>
      <c r="H10" s="18">
        <f>111/F10</f>
        <v>2.22</v>
      </c>
      <c r="I10" s="13"/>
      <c r="J10" s="15">
        <f>I10+J8</f>
        <v>21994.0</v>
      </c>
      <c r="K10" s="14">
        <f>J10/530069</f>
        <v>0.0414927113262613</v>
      </c>
      <c r="L10" s="13">
        <f>E8-I10</f>
        <v>14635.0</v>
      </c>
      <c r="M10" s="11">
        <f>L10/E8</f>
        <v>1.0</v>
      </c>
      <c r="N10" s="13">
        <f>L10+N8</f>
        <v>22731.0</v>
      </c>
      <c r="O10" s="15">
        <f>J10/3*26</f>
        <v>190614.66666666666</v>
      </c>
      <c r="P10" s="11">
        <f>J10/3*27/530069</f>
        <v>0.3734344019363517</v>
      </c>
    </row>
    <row r="11" spans="8:8" ht="15.05">
      <c r="A11" s="7">
        <f>IF(B11="","",ROW(5:7))</f>
        <v>5.0</v>
      </c>
      <c r="B11" s="8" t="s">
        <v>62</v>
      </c>
      <c r="C11" s="9">
        <v>72.0</v>
      </c>
      <c r="D11" s="10"/>
      <c r="E11" s="9"/>
      <c r="F11" s="9"/>
      <c r="G11" s="11">
        <f>F11/C11</f>
        <v>0.0</v>
      </c>
      <c r="H11" s="18" t="e">
        <f>110/F11</f>
        <v>#DIV/0!</v>
      </c>
      <c r="I11" s="9"/>
      <c r="J11" s="13">
        <f>I11+J10</f>
        <v>21994.0</v>
      </c>
      <c r="K11" s="14">
        <f>J11/530069</f>
        <v>0.0414927113262613</v>
      </c>
      <c r="L11" s="13">
        <f>E10-I11</f>
        <v>17067.0</v>
      </c>
      <c r="M11" s="11">
        <f>L11/E10</f>
        <v>1.0</v>
      </c>
      <c r="N11" s="13">
        <f>L11+N10</f>
        <v>39798.0</v>
      </c>
      <c r="O11" s="15">
        <f>J11/4*26</f>
        <v>142961.0</v>
      </c>
      <c r="P11" s="11">
        <f>J11/4*27/530069</f>
        <v>0.28007580145226374</v>
      </c>
    </row>
    <row r="12" spans="8:8" ht="15.05">
      <c r="A12" s="7">
        <f>IF(B12="","",ROW(6:8))</f>
        <v>6.0</v>
      </c>
      <c r="B12" s="8" t="s">
        <v>63</v>
      </c>
      <c r="C12" s="9">
        <v>86.0</v>
      </c>
      <c r="D12" s="10"/>
      <c r="E12" s="9"/>
      <c r="F12" s="9"/>
      <c r="G12" s="11">
        <f>F12/C12</f>
        <v>0.0</v>
      </c>
      <c r="H12" s="18" t="e">
        <f>142/F12</f>
        <v>#DIV/0!</v>
      </c>
      <c r="I12" s="9"/>
      <c r="J12" s="13">
        <f>I12+J11</f>
        <v>21994.0</v>
      </c>
      <c r="K12" s="14">
        <f>J12/530069</f>
        <v>0.0414927113262613</v>
      </c>
      <c r="L12" s="13">
        <f>E11-I12</f>
        <v>0.0</v>
      </c>
      <c r="M12" s="11" t="e">
        <f>L12/E11</f>
        <v>#DIV/0!</v>
      </c>
      <c r="N12" s="13">
        <f>L12+N11</f>
        <v>39798.0</v>
      </c>
      <c r="O12" s="15">
        <f>J12/5*26</f>
        <v>114368.8</v>
      </c>
      <c r="P12" s="11">
        <f>J12/5*27/530069</f>
        <v>0.224060641161811</v>
      </c>
    </row>
    <row r="13" spans="8:8" ht="15.05">
      <c r="A13" s="7">
        <f>IF(B13="","",ROW(7:9))</f>
        <v>7.0</v>
      </c>
      <c r="B13" s="8" t="s">
        <v>64</v>
      </c>
      <c r="C13" s="9">
        <v>65.0</v>
      </c>
      <c r="D13" s="10"/>
      <c r="E13" s="9"/>
      <c r="F13" s="9"/>
      <c r="G13" s="11">
        <f>F13/C13</f>
        <v>0.0</v>
      </c>
      <c r="H13" s="18" t="e">
        <f>102/F13</f>
        <v>#DIV/0!</v>
      </c>
      <c r="I13" s="13"/>
      <c r="J13" s="13">
        <f>I13+J12</f>
        <v>21994.0</v>
      </c>
      <c r="K13" s="14">
        <f>J13/530069</f>
        <v>0.0414927113262613</v>
      </c>
      <c r="L13" s="13">
        <f>E12-I13</f>
        <v>0.0</v>
      </c>
      <c r="M13" s="11" t="e">
        <f>L13/E12</f>
        <v>#DIV/0!</v>
      </c>
      <c r="N13" s="13">
        <f>L13+N12</f>
        <v>39798.0</v>
      </c>
      <c r="O13" s="15">
        <f>J13/6*26</f>
        <v>95307.33333333333</v>
      </c>
      <c r="P13" s="11">
        <f>J13/6*27/530069</f>
        <v>0.18671720096817584</v>
      </c>
    </row>
    <row r="14" spans="8:8" ht="15.05">
      <c r="A14" s="7">
        <f>IF(B14="","",ROW(8:10))</f>
        <v>8.0</v>
      </c>
      <c r="B14" s="8" t="s">
        <v>65</v>
      </c>
      <c r="C14" s="9">
        <v>76.0</v>
      </c>
      <c r="D14" s="10"/>
      <c r="E14" s="9"/>
      <c r="F14" s="9"/>
      <c r="G14" s="11">
        <f>F14/C14</f>
        <v>0.0</v>
      </c>
      <c r="H14" s="18" t="e">
        <f>92/F14</f>
        <v>#DIV/0!</v>
      </c>
      <c r="I14" s="9"/>
      <c r="J14" s="13">
        <f>I14+J13</f>
        <v>21994.0</v>
      </c>
      <c r="K14" s="14">
        <f>J14/530069</f>
        <v>0.0414927113262613</v>
      </c>
      <c r="L14" s="13">
        <f>E13-I14</f>
        <v>0.0</v>
      </c>
      <c r="M14" s="11" t="e">
        <f>L14/E13</f>
        <v>#DIV/0!</v>
      </c>
      <c r="N14" s="13">
        <f>L14+N13</f>
        <v>39798.0</v>
      </c>
      <c r="O14" s="15">
        <f>J14/7*26</f>
        <v>81692.0</v>
      </c>
      <c r="P14" s="11">
        <f>J14/7*27/530069</f>
        <v>0.1600433151155793</v>
      </c>
    </row>
    <row r="15" spans="8:8" ht="15.05">
      <c r="A15" s="7">
        <f>IF(B15="","",ROW(9:11))</f>
        <v>9.0</v>
      </c>
      <c r="B15" s="8" t="s">
        <v>66</v>
      </c>
      <c r="C15" s="9">
        <v>68.0</v>
      </c>
      <c r="D15" s="10"/>
      <c r="E15" s="9"/>
      <c r="F15" s="9"/>
      <c r="G15" s="11">
        <f>F15/C15</f>
        <v>0.0</v>
      </c>
      <c r="H15" s="18" t="e">
        <f>112/F15</f>
        <v>#DIV/0!</v>
      </c>
      <c r="I15" s="9"/>
      <c r="J15" s="13">
        <f>I15+J14</f>
        <v>21994.0</v>
      </c>
      <c r="K15" s="14">
        <f>J15/530069</f>
        <v>0.0414927113262613</v>
      </c>
      <c r="L15" s="13">
        <f>E14-I15</f>
        <v>0.0</v>
      </c>
      <c r="M15" s="11" t="e">
        <f>L15/E14</f>
        <v>#DIV/0!</v>
      </c>
      <c r="N15" s="13">
        <f>L15+N14</f>
        <v>39798.0</v>
      </c>
      <c r="O15" s="15">
        <f>J15/8*26</f>
        <v>71480.5</v>
      </c>
      <c r="P15" s="11">
        <f>J15/8*27/530069</f>
        <v>0.14003790072613187</v>
      </c>
    </row>
    <row r="16" spans="8:8" ht="14.45">
      <c r="A16" s="7" t="str">
        <f>IF(B16="","",ROW(10:12))</f>
        <v/>
      </c>
      <c r="B16" s="15"/>
      <c r="C16" s="13"/>
      <c r="D16" s="16"/>
      <c r="E16" s="13"/>
      <c r="F16" s="13"/>
      <c r="G16" s="11"/>
      <c r="H16" s="13"/>
      <c r="I16" s="13"/>
      <c r="J16" s="15"/>
      <c r="K16" s="14"/>
      <c r="L16" s="13"/>
      <c r="M16" s="11"/>
      <c r="N16" s="13"/>
      <c r="O16" s="17"/>
      <c r="P16" s="11"/>
    </row>
    <row r="17" spans="8:8" ht="15.05">
      <c r="A17" s="7">
        <f>IF(B17="","",ROW(11:13))</f>
        <v>11.0</v>
      </c>
      <c r="B17" s="8" t="s">
        <v>67</v>
      </c>
      <c r="C17" s="9">
        <v>85.0</v>
      </c>
      <c r="D17" s="10"/>
      <c r="E17" s="9"/>
      <c r="F17" s="9"/>
      <c r="G17" s="11">
        <f>F17/C17</f>
        <v>0.0</v>
      </c>
      <c r="H17" s="18" t="e">
        <f>112/F17</f>
        <v>#DIV/0!</v>
      </c>
      <c r="I17" s="13"/>
      <c r="J17" s="15">
        <f>I17+J15</f>
        <v>21994.0</v>
      </c>
      <c r="K17" s="14">
        <f>J17/530069</f>
        <v>0.0414927113262613</v>
      </c>
      <c r="L17" s="13">
        <f>E15-I17</f>
        <v>0.0</v>
      </c>
      <c r="M17" s="11" t="e">
        <f>L17/E15</f>
        <v>#DIV/0!</v>
      </c>
      <c r="N17" s="13">
        <f>L17+N15</f>
        <v>39798.0</v>
      </c>
      <c r="O17" s="15">
        <f>J17/9*26</f>
        <v>63538.222222222226</v>
      </c>
      <c r="P17" s="11">
        <f>J17/9*27/530069</f>
        <v>0.12447813397878389</v>
      </c>
    </row>
    <row r="18" spans="8:8" ht="15.05">
      <c r="A18" s="7">
        <f>IF(B18="","",ROW(12:14))</f>
        <v>12.0</v>
      </c>
      <c r="B18" s="8" t="s">
        <v>68</v>
      </c>
      <c r="C18" s="9">
        <v>72.0</v>
      </c>
      <c r="D18" s="10"/>
      <c r="E18" s="9"/>
      <c r="F18" s="9"/>
      <c r="G18" s="11">
        <f>F18/C18</f>
        <v>0.0</v>
      </c>
      <c r="H18" s="18" t="e">
        <f>110/F18</f>
        <v>#DIV/0!</v>
      </c>
      <c r="I18" s="9"/>
      <c r="J18" s="13">
        <f>I18+J17</f>
        <v>21994.0</v>
      </c>
      <c r="K18" s="14">
        <f>J18/530069</f>
        <v>0.0414927113262613</v>
      </c>
      <c r="L18" s="13">
        <f>E17-I18</f>
        <v>0.0</v>
      </c>
      <c r="M18" s="11" t="e">
        <f>L18/E17</f>
        <v>#DIV/0!</v>
      </c>
      <c r="N18" s="13">
        <f>L18+N17</f>
        <v>39798.0</v>
      </c>
      <c r="O18" s="15">
        <f>J18/10*26</f>
        <v>57184.4</v>
      </c>
      <c r="P18" s="11">
        <f>J18/10*27/530069</f>
        <v>0.1120303205809055</v>
      </c>
    </row>
    <row r="19" spans="8:8" ht="15.05">
      <c r="A19" s="7">
        <f>IF(B19="","",ROW(13:15))</f>
        <v>13.0</v>
      </c>
      <c r="B19" s="8" t="s">
        <v>69</v>
      </c>
      <c r="C19" s="9">
        <v>86.0</v>
      </c>
      <c r="D19" s="10"/>
      <c r="E19" s="9"/>
      <c r="F19" s="9"/>
      <c r="G19" s="11">
        <f>F19/C19</f>
        <v>0.0</v>
      </c>
      <c r="H19" s="18" t="e">
        <f>150/F19</f>
        <v>#DIV/0!</v>
      </c>
      <c r="I19" s="9"/>
      <c r="J19" s="13">
        <f>I19+J18</f>
        <v>21994.0</v>
      </c>
      <c r="K19" s="14">
        <f>J19/530069</f>
        <v>0.0414927113262613</v>
      </c>
      <c r="L19" s="13">
        <f>E18-I19</f>
        <v>0.0</v>
      </c>
      <c r="M19" s="11" t="e">
        <f>L19/E18</f>
        <v>#DIV/0!</v>
      </c>
      <c r="N19" s="13">
        <f>L19+N18</f>
        <v>39798.0</v>
      </c>
      <c r="O19" s="15">
        <f>J19/11*26</f>
        <v>51985.818181818184</v>
      </c>
      <c r="P19" s="11">
        <f>J19/11*27/530069</f>
        <v>0.10184574598264137</v>
      </c>
    </row>
    <row r="20" spans="8:8" ht="15.05">
      <c r="A20" s="7">
        <f>IF(B20="","",ROW(14:16))</f>
        <v>14.0</v>
      </c>
      <c r="B20" s="8" t="s">
        <v>70</v>
      </c>
      <c r="C20" s="9">
        <v>65.0</v>
      </c>
      <c r="D20" s="10"/>
      <c r="E20" s="9"/>
      <c r="F20" s="9"/>
      <c r="G20" s="11">
        <f>F20/C20</f>
        <v>0.0</v>
      </c>
      <c r="H20" s="19" t="e">
        <f>110/F20</f>
        <v>#DIV/0!</v>
      </c>
      <c r="I20" s="13"/>
      <c r="J20" s="13">
        <f>I20+J19</f>
        <v>21994.0</v>
      </c>
      <c r="K20" s="14">
        <f>J20/530069</f>
        <v>0.0414927113262613</v>
      </c>
      <c r="L20" s="13">
        <f>E19-I20</f>
        <v>0.0</v>
      </c>
      <c r="M20" s="11" t="e">
        <f>L20/E19</f>
        <v>#DIV/0!</v>
      </c>
      <c r="N20" s="13">
        <f>L20+N19</f>
        <v>39798.0</v>
      </c>
      <c r="O20" s="15">
        <f>J20/12*26</f>
        <v>47653.666666666664</v>
      </c>
      <c r="P20" s="11">
        <f>J20/12*27/530069</f>
        <v>0.09335860048408792</v>
      </c>
    </row>
    <row r="21" spans="8:8" ht="15.05">
      <c r="A21" s="7">
        <f>IF(B21="","",ROW(15:17))</f>
        <v>15.0</v>
      </c>
      <c r="B21" s="8" t="s">
        <v>71</v>
      </c>
      <c r="C21" s="9">
        <v>76.0</v>
      </c>
      <c r="D21" s="10"/>
      <c r="E21" s="9"/>
      <c r="F21" s="9"/>
      <c r="G21" s="11">
        <f>F21/C21</f>
        <v>0.0</v>
      </c>
      <c r="H21" s="18" t="e">
        <f>92/F21</f>
        <v>#DIV/0!</v>
      </c>
      <c r="I21" s="9"/>
      <c r="J21" s="13">
        <f>I21+J20</f>
        <v>21994.0</v>
      </c>
      <c r="K21" s="14">
        <f>J21/530069</f>
        <v>0.0414927113262613</v>
      </c>
      <c r="L21" s="13">
        <f>E20-I21</f>
        <v>0.0</v>
      </c>
      <c r="M21" s="11" t="e">
        <f>L21/E20</f>
        <v>#DIV/0!</v>
      </c>
      <c r="N21" s="13">
        <f>L21+N20</f>
        <v>39798.0</v>
      </c>
      <c r="O21" s="15">
        <f>J21/13*26</f>
        <v>43988.0</v>
      </c>
      <c r="P21" s="11">
        <f>J21/13*27/530069</f>
        <v>0.08617716967761962</v>
      </c>
    </row>
    <row r="22" spans="8:8" ht="15.05">
      <c r="A22" s="7">
        <f>IF(B22="","",ROW(16:18))</f>
        <v>16.0</v>
      </c>
      <c r="B22" s="8" t="s">
        <v>72</v>
      </c>
      <c r="C22" s="9">
        <v>68.0</v>
      </c>
      <c r="D22" s="10"/>
      <c r="E22" s="13"/>
      <c r="F22" s="9"/>
      <c r="G22" s="11">
        <f>F22/C22</f>
        <v>0.0</v>
      </c>
      <c r="H22" s="18" t="e">
        <f>112/F22</f>
        <v>#DIV/0!</v>
      </c>
      <c r="I22" s="9"/>
      <c r="J22" s="13">
        <f>I22+J21</f>
        <v>21994.0</v>
      </c>
      <c r="K22" s="14">
        <f>J22/530069</f>
        <v>0.0414927113262613</v>
      </c>
      <c r="L22" s="13">
        <f>E21-I22</f>
        <v>0.0</v>
      </c>
      <c r="M22" s="11" t="e">
        <f>L22/E21</f>
        <v>#DIV/0!</v>
      </c>
      <c r="N22" s="13">
        <f>L22+N21</f>
        <v>39798.0</v>
      </c>
      <c r="O22" s="15">
        <f>J22/14*26</f>
        <v>40846.0</v>
      </c>
      <c r="P22" s="11">
        <f>J22/14*27/530069</f>
        <v>0.08002165755778964</v>
      </c>
    </row>
    <row r="23" spans="8:8" ht="14.45">
      <c r="A23" s="7" t="str">
        <f>IF(B23="","",ROW(17:19))</f>
        <v/>
      </c>
      <c r="B23" s="15"/>
      <c r="C23" s="13"/>
      <c r="D23" s="16"/>
      <c r="E23" s="13"/>
      <c r="F23" s="13"/>
      <c r="G23" s="11"/>
      <c r="H23" s="15"/>
      <c r="I23" s="13"/>
      <c r="J23" s="15"/>
      <c r="K23" s="14"/>
      <c r="L23" s="13"/>
      <c r="M23" s="11"/>
      <c r="N23" s="13"/>
      <c r="O23" s="17"/>
      <c r="P23" s="11"/>
    </row>
    <row r="24" spans="8:8" ht="15.05">
      <c r="A24" s="7">
        <f>IF(B24="","",ROW(18:20))</f>
        <v>18.0</v>
      </c>
      <c r="B24" s="8" t="s">
        <v>73</v>
      </c>
      <c r="C24" s="9">
        <v>85.0</v>
      </c>
      <c r="D24" s="10"/>
      <c r="E24" s="9"/>
      <c r="F24" s="9"/>
      <c r="G24" s="11">
        <f>F24/C24</f>
        <v>0.0</v>
      </c>
      <c r="H24" s="19" t="e">
        <f>110/F24</f>
        <v>#DIV/0!</v>
      </c>
      <c r="I24" s="13"/>
      <c r="J24" s="15">
        <f>I24+J22</f>
        <v>21994.0</v>
      </c>
      <c r="K24" s="14">
        <f>J24/530069</f>
        <v>0.0414927113262613</v>
      </c>
      <c r="L24" s="13">
        <f>E22-I24</f>
        <v>0.0</v>
      </c>
      <c r="M24" s="11" t="e">
        <f>L24/E22</f>
        <v>#DIV/0!</v>
      </c>
      <c r="N24" s="13">
        <f>L24+N22</f>
        <v>39798.0</v>
      </c>
      <c r="O24" s="15">
        <f>J24/15*26</f>
        <v>38122.933333333334</v>
      </c>
      <c r="P24" s="11">
        <f>J24/15*27/530069</f>
        <v>0.07468688038727032</v>
      </c>
    </row>
    <row r="25" spans="8:8" ht="15.05">
      <c r="A25" s="7">
        <f>IF(B25="","",ROW(19:21))</f>
        <v>19.0</v>
      </c>
      <c r="B25" s="8" t="s">
        <v>74</v>
      </c>
      <c r="C25" s="9">
        <v>72.0</v>
      </c>
      <c r="D25" s="10"/>
      <c r="E25" s="9"/>
      <c r="F25" s="9"/>
      <c r="G25" s="11">
        <f>F25/C25</f>
        <v>0.0</v>
      </c>
      <c r="H25" s="18" t="e">
        <f>112/F25</f>
        <v>#DIV/0!</v>
      </c>
      <c r="I25" s="9"/>
      <c r="J25" s="13">
        <f>I25+J24</f>
        <v>21994.0</v>
      </c>
      <c r="K25" s="14">
        <f>J25/530069</f>
        <v>0.0414927113262613</v>
      </c>
      <c r="L25" s="13">
        <f>E24-I25</f>
        <v>0.0</v>
      </c>
      <c r="M25" s="11" t="e">
        <f>L25/E24</f>
        <v>#DIV/0!</v>
      </c>
      <c r="N25" s="13">
        <f>L25+N24</f>
        <v>39798.0</v>
      </c>
      <c r="O25" s="15">
        <f>J25/16*26</f>
        <v>35740.25</v>
      </c>
      <c r="P25" s="11">
        <f>J25/16*27/530069</f>
        <v>0.07001895036306593</v>
      </c>
    </row>
    <row r="26" spans="8:8" ht="15.05">
      <c r="A26" s="7">
        <f>IF(B26="","",ROW(20:22))</f>
        <v>20.0</v>
      </c>
      <c r="B26" s="8" t="s">
        <v>75</v>
      </c>
      <c r="C26" s="9">
        <v>86.0</v>
      </c>
      <c r="D26" s="10"/>
      <c r="E26" s="9"/>
      <c r="F26" s="9"/>
      <c r="G26" s="11">
        <f>F26/C26</f>
        <v>0.0</v>
      </c>
      <c r="H26" s="15" t="e">
        <f>162/F26</f>
        <v>#DIV/0!</v>
      </c>
      <c r="I26" s="9"/>
      <c r="J26" s="13">
        <f>I26+J25</f>
        <v>21994.0</v>
      </c>
      <c r="K26" s="14">
        <f>J26/530069</f>
        <v>0.0414927113262613</v>
      </c>
      <c r="L26" s="13">
        <f>E25-I26</f>
        <v>0.0</v>
      </c>
      <c r="M26" s="11" t="e">
        <f>L26/E25</f>
        <v>#DIV/0!</v>
      </c>
      <c r="N26" s="13">
        <f>L26+N25</f>
        <v>39798.0</v>
      </c>
      <c r="O26" s="15">
        <f>J26/17*26</f>
        <v>33637.882352941175</v>
      </c>
      <c r="P26" s="11">
        <f>J26/17*27/530069</f>
        <v>0.06590018857700324</v>
      </c>
    </row>
    <row r="27" spans="8:8" ht="15.05">
      <c r="A27" s="7">
        <f>IF(B27="","",ROW(21:23))</f>
        <v>21.0</v>
      </c>
      <c r="B27" s="8" t="s">
        <v>76</v>
      </c>
      <c r="C27" s="9">
        <v>65.0</v>
      </c>
      <c r="D27" s="10"/>
      <c r="E27" s="9"/>
      <c r="F27" s="9"/>
      <c r="G27" s="11">
        <f>F27/C27</f>
        <v>0.0</v>
      </c>
      <c r="H27" s="20" t="e">
        <f>115/F27</f>
        <v>#DIV/0!</v>
      </c>
      <c r="I27" s="9"/>
      <c r="J27" s="13">
        <f>I27+J26</f>
        <v>21994.0</v>
      </c>
      <c r="K27" s="14">
        <f>J27/530069</f>
        <v>0.0414927113262613</v>
      </c>
      <c r="L27" s="13">
        <f>E26-I27</f>
        <v>0.0</v>
      </c>
      <c r="M27" s="11" t="e">
        <f>L27/E26</f>
        <v>#DIV/0!</v>
      </c>
      <c r="N27" s="13">
        <f>L27+N26</f>
        <v>39798.0</v>
      </c>
      <c r="O27" s="15">
        <f>J27/18*26</f>
        <v>31769.111111111113</v>
      </c>
      <c r="P27" s="11">
        <f>J27/18*27/530069</f>
        <v>0.062239066989391946</v>
      </c>
    </row>
    <row r="28" spans="8:8" ht="15.05">
      <c r="A28" s="7">
        <f>IF(B28="","",ROW(22:24))</f>
        <v>22.0</v>
      </c>
      <c r="B28" s="8" t="s">
        <v>77</v>
      </c>
      <c r="C28" s="9">
        <v>76.0</v>
      </c>
      <c r="D28" s="10"/>
      <c r="E28" s="9"/>
      <c r="F28" s="9"/>
      <c r="G28" s="11">
        <f>F28/C28</f>
        <v>0.0</v>
      </c>
      <c r="H28" s="20" t="e">
        <f>92/F28</f>
        <v>#DIV/0!</v>
      </c>
      <c r="I28" s="9"/>
      <c r="J28" s="13">
        <f>I28+J27</f>
        <v>21994.0</v>
      </c>
      <c r="K28" s="14">
        <f>J28/530069</f>
        <v>0.0414927113262613</v>
      </c>
      <c r="L28" s="13">
        <f>E27-I28</f>
        <v>0.0</v>
      </c>
      <c r="M28" s="11" t="e">
        <f>L28/E27</f>
        <v>#DIV/0!</v>
      </c>
      <c r="N28" s="13">
        <f>L28+N27</f>
        <v>39798.0</v>
      </c>
      <c r="O28" s="15">
        <f>J28/19*26</f>
        <v>30097.052631578947</v>
      </c>
      <c r="P28" s="11">
        <f>J28/19*27/530069</f>
        <v>0.058963326621529207</v>
      </c>
    </row>
    <row r="29" spans="8:8" ht="15.05">
      <c r="A29" s="7">
        <f>IF(B29="","",ROW(23:25))</f>
        <v>23.0</v>
      </c>
      <c r="B29" s="15" t="s">
        <v>79</v>
      </c>
      <c r="C29" s="13">
        <v>68.0</v>
      </c>
      <c r="D29" s="21"/>
      <c r="E29" s="13"/>
      <c r="F29" s="13"/>
      <c r="G29" s="11">
        <f>F29/C29</f>
        <v>0.0</v>
      </c>
      <c r="H29" s="22" t="e">
        <f>102/F29</f>
        <v>#DIV/0!</v>
      </c>
      <c r="I29" s="23"/>
      <c r="J29" s="13">
        <f>I29+J28</f>
        <v>21994.0</v>
      </c>
      <c r="K29" s="14">
        <f>J29/530069</f>
        <v>0.0414927113262613</v>
      </c>
      <c r="L29" s="13">
        <f>E28-I29</f>
        <v>0.0</v>
      </c>
      <c r="M29" s="11" t="e">
        <f>L29/E28</f>
        <v>#DIV/0!</v>
      </c>
      <c r="N29" s="13">
        <f>L29+N28</f>
        <v>39798.0</v>
      </c>
      <c r="O29" s="15">
        <f>J29/20*26</f>
        <v>28592.2</v>
      </c>
      <c r="P29" s="11">
        <f>J29/20*27/530069</f>
        <v>0.05601516029045275</v>
      </c>
    </row>
    <row r="30" spans="8:8" ht="14.45" customFormat="1">
      <c r="A30" s="7" t="str">
        <f>IF(B30="","",ROW(24:26))</f>
        <v/>
      </c>
      <c r="B30" s="15"/>
      <c r="C30" s="13"/>
      <c r="D30" s="21"/>
      <c r="E30" s="13"/>
      <c r="F30" s="13"/>
      <c r="G30" s="11"/>
      <c r="H30" s="15"/>
      <c r="I30" s="23"/>
      <c r="J30" s="13"/>
      <c r="K30" s="14"/>
      <c r="L30" s="13"/>
      <c r="M30" s="13"/>
      <c r="N30" s="13"/>
      <c r="O30" s="15"/>
      <c r="P30" s="11"/>
    </row>
    <row r="31" spans="8:8" ht="15.05" customFormat="1">
      <c r="A31" s="7">
        <f>IF(B31="","",ROW(25:27))</f>
        <v>25.0</v>
      </c>
      <c r="B31" s="15" t="s">
        <v>81</v>
      </c>
      <c r="C31" s="13">
        <v>85.0</v>
      </c>
      <c r="D31" s="21"/>
      <c r="E31" s="13"/>
      <c r="F31" s="13"/>
      <c r="G31" s="11">
        <f>F31/C31</f>
        <v>0.0</v>
      </c>
      <c r="H31" s="24" t="e">
        <f>122/F31</f>
        <v>#DIV/0!</v>
      </c>
      <c r="I31" s="23"/>
      <c r="J31" s="15">
        <f>I31+J29</f>
        <v>21994.0</v>
      </c>
      <c r="K31" s="14">
        <f>J31/530069</f>
        <v>0.0414927113262613</v>
      </c>
      <c r="L31" s="13">
        <f>E29-I31</f>
        <v>0.0</v>
      </c>
      <c r="M31" s="11" t="e">
        <f>L31/E29</f>
        <v>#DIV/0!</v>
      </c>
      <c r="N31" s="13">
        <f>L31+N29</f>
        <v>39798.0</v>
      </c>
      <c r="O31" s="15">
        <f>J31/21*26</f>
        <v>27230.666666666664</v>
      </c>
      <c r="P31" s="11">
        <f>J31/21*27/530069</f>
        <v>0.053347771705193094</v>
      </c>
    </row>
    <row r="32" spans="8:8" ht="15.05" customFormat="1">
      <c r="A32" s="7">
        <f>IF(B32="","",ROW(26:28))</f>
        <v>26.0</v>
      </c>
      <c r="B32" s="8" t="s">
        <v>74</v>
      </c>
      <c r="C32" s="9">
        <v>72.0</v>
      </c>
      <c r="D32" s="21"/>
      <c r="E32" s="13"/>
      <c r="F32" s="13"/>
      <c r="G32" s="11">
        <f>F32/C32</f>
        <v>0.0</v>
      </c>
      <c r="H32" s="24" t="e">
        <f>122/F32</f>
        <v>#DIV/0!</v>
      </c>
      <c r="I32" s="23"/>
      <c r="J32" s="13">
        <f>I32+J31</f>
        <v>21994.0</v>
      </c>
      <c r="K32" s="14">
        <f>J32/530069</f>
        <v>0.0414927113262613</v>
      </c>
      <c r="L32" s="13">
        <f>E31-I32</f>
        <v>0.0</v>
      </c>
      <c r="M32" s="11" t="e">
        <f>L32/E31</f>
        <v>#DIV/0!</v>
      </c>
      <c r="N32" s="13">
        <f>L32+N31</f>
        <v>39798.0</v>
      </c>
      <c r="O32" s="15">
        <f>J32/22*26</f>
        <v>25992.909090909092</v>
      </c>
      <c r="P32" s="11">
        <f>J32/22*27/530069</f>
        <v>0.050922872991320686</v>
      </c>
    </row>
    <row r="33" spans="8:8" ht="15.05" customFormat="1">
      <c r="A33" s="7">
        <f>IF(B33="","",ROW(27:29))</f>
        <v>27.0</v>
      </c>
      <c r="B33" s="8" t="s">
        <v>75</v>
      </c>
      <c r="C33" s="9">
        <v>86.0</v>
      </c>
      <c r="D33" s="21"/>
      <c r="E33" s="13"/>
      <c r="F33" s="13"/>
      <c r="G33" s="11">
        <f>F33/C33</f>
        <v>0.0</v>
      </c>
      <c r="H33" s="24" t="e">
        <f>122/F33</f>
        <v>#DIV/0!</v>
      </c>
      <c r="I33" s="23"/>
      <c r="J33" s="13">
        <f>I33+J32</f>
        <v>21994.0</v>
      </c>
      <c r="K33" s="14">
        <f>J33/530069</f>
        <v>0.0414927113262613</v>
      </c>
      <c r="L33" s="13">
        <f>E32-I33</f>
        <v>0.0</v>
      </c>
      <c r="M33" s="11" t="e">
        <f>L33/E32</f>
        <v>#DIV/0!</v>
      </c>
      <c r="N33" s="13">
        <f>L33+N32</f>
        <v>39798.0</v>
      </c>
      <c r="O33" s="15">
        <f>J33/23*26</f>
        <v>24862.782608695652</v>
      </c>
      <c r="P33" s="11">
        <f>J33/23*27/530069</f>
        <v>0.048708835035176305</v>
      </c>
    </row>
    <row r="34" spans="8:8" ht="15.05" customFormat="1">
      <c r="A34" s="7">
        <f>IF(B34="","",ROW(28:30))</f>
        <v>28.0</v>
      </c>
      <c r="B34" s="8" t="s">
        <v>76</v>
      </c>
      <c r="C34" s="9">
        <v>65.0</v>
      </c>
      <c r="D34" s="21"/>
      <c r="E34" s="13"/>
      <c r="F34" s="13"/>
      <c r="G34" s="11">
        <f>F34/C34</f>
        <v>0.0</v>
      </c>
      <c r="H34" s="24" t="e">
        <f>122/F34</f>
        <v>#DIV/0!</v>
      </c>
      <c r="I34" s="23"/>
      <c r="J34" s="13">
        <f>I34+J33</f>
        <v>21994.0</v>
      </c>
      <c r="K34" s="14">
        <f>J34/530069</f>
        <v>0.0414927113262613</v>
      </c>
      <c r="L34" s="13">
        <f>E33-I34</f>
        <v>0.0</v>
      </c>
      <c r="M34" s="11" t="e">
        <f>L34/E33</f>
        <v>#DIV/0!</v>
      </c>
      <c r="N34" s="13">
        <f>L34+N33</f>
        <v>39798.0</v>
      </c>
      <c r="O34" s="15">
        <f>J34/24*26</f>
        <v>23826.833333333332</v>
      </c>
      <c r="P34" s="11">
        <f>J34/24*27/530069</f>
        <v>0.04667930024204396</v>
      </c>
    </row>
    <row r="35" spans="8:8" ht="15.05" customFormat="1">
      <c r="A35" s="7">
        <f>IF(B35="","",ROW(29:31))</f>
        <v>29.0</v>
      </c>
      <c r="B35" s="8" t="s">
        <v>77</v>
      </c>
      <c r="C35" s="9">
        <v>76.0</v>
      </c>
      <c r="D35" s="21"/>
      <c r="E35" s="13"/>
      <c r="F35" s="13"/>
      <c r="G35" s="11">
        <f>F35/C35</f>
        <v>0.0</v>
      </c>
      <c r="H35" s="24" t="e">
        <f>122/F35</f>
        <v>#DIV/0!</v>
      </c>
      <c r="I35" s="23"/>
      <c r="J35" s="13">
        <f>I35+J34</f>
        <v>21994.0</v>
      </c>
      <c r="K35" s="14">
        <f>J35/530069</f>
        <v>0.0414927113262613</v>
      </c>
      <c r="L35" s="13">
        <f>E34-I35</f>
        <v>0.0</v>
      </c>
      <c r="M35" s="11" t="e">
        <f>L35/E34</f>
        <v>#DIV/0!</v>
      </c>
      <c r="N35" s="13">
        <f>L35+N34</f>
        <v>39798.0</v>
      </c>
      <c r="O35" s="15">
        <f>J35/25*26</f>
        <v>22873.76</v>
      </c>
      <c r="P35" s="11">
        <f>J35/25*27/530069</f>
        <v>0.044812128232362206</v>
      </c>
    </row>
    <row r="36" spans="8:8" ht="15.05" customFormat="1">
      <c r="A36" s="7">
        <f>IF(B36="","",ROW(30:32))</f>
        <v>30.0</v>
      </c>
      <c r="B36" s="15" t="s">
        <v>79</v>
      </c>
      <c r="C36" s="13">
        <v>68.0</v>
      </c>
      <c r="D36" s="21"/>
      <c r="E36" s="13"/>
      <c r="F36" s="13"/>
      <c r="G36" s="11">
        <f>F36/C36</f>
        <v>0.0</v>
      </c>
      <c r="H36" s="24" t="e">
        <f>122/F36</f>
        <v>#DIV/0!</v>
      </c>
      <c r="I36" s="23"/>
      <c r="J36" s="13">
        <f>I36+J35</f>
        <v>21994.0</v>
      </c>
      <c r="K36" s="14">
        <f>J36/530069</f>
        <v>0.0414927113262613</v>
      </c>
      <c r="L36" s="13">
        <f>E35-I36</f>
        <v>0.0</v>
      </c>
      <c r="M36" s="11" t="e">
        <f>L36/E35</f>
        <v>#DIV/0!</v>
      </c>
      <c r="N36" s="13">
        <f>L36+N35</f>
        <v>39798.0</v>
      </c>
      <c r="O36" s="15">
        <f>J36/26*26</f>
        <v>21994.0</v>
      </c>
      <c r="P36" s="11">
        <f>J36/26*27/530069</f>
        <v>0.04308858483880981</v>
      </c>
    </row>
    <row r="37" spans="8:8" ht="15.05" customFormat="1">
      <c r="A37" s="7"/>
      <c r="B37" s="8"/>
      <c r="C37" s="9"/>
      <c r="D37" s="21"/>
      <c r="E37" s="13"/>
      <c r="F37" s="13"/>
      <c r="G37" s="11"/>
      <c r="H37" s="24"/>
      <c r="I37" s="23"/>
      <c r="J37" s="28"/>
      <c r="K37" s="14"/>
      <c r="L37" s="13"/>
      <c r="M37" s="11"/>
      <c r="N37" s="13"/>
      <c r="O37" s="15"/>
      <c r="P37" s="11"/>
    </row>
    <row r="38" spans="8:8" ht="14.45">
      <c r="A38" s="25" t="s">
        <v>78</v>
      </c>
      <c r="B38" s="15"/>
      <c r="C38" s="13"/>
      <c r="D38" s="16"/>
      <c r="E38" s="16"/>
      <c r="F38" s="13"/>
      <c r="G38" s="13"/>
      <c r="H38" s="15"/>
      <c r="I38" s="29"/>
      <c r="J38" s="30"/>
      <c r="K38" s="31"/>
      <c r="L38" s="13"/>
      <c r="M38" s="13"/>
      <c r="N38" s="13"/>
      <c r="O38" s="15"/>
      <c r="P38" s="13"/>
    </row>
    <row r="39" spans="8:8" ht="14.45">
      <c r="J39" s="32"/>
    </row>
  </sheetData>
  <mergeCells count="18">
    <mergeCell ref="A1:N3"/>
    <mergeCell ref="L4:N4"/>
    <mergeCell ref="A4:B4"/>
    <mergeCell ref="L5:L6"/>
    <mergeCell ref="P5:P6"/>
    <mergeCell ref="B5:B6"/>
    <mergeCell ref="H4:K4"/>
    <mergeCell ref="N5:N6"/>
    <mergeCell ref="M5:M6"/>
    <mergeCell ref="O5:O6"/>
    <mergeCell ref="C5:C6"/>
    <mergeCell ref="A5:A6"/>
    <mergeCell ref="I5:K5"/>
    <mergeCell ref="D5:D6"/>
    <mergeCell ref="F5:F6"/>
    <mergeCell ref="H5:H6"/>
    <mergeCell ref="G5:G6"/>
    <mergeCell ref="E5:E6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CX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CX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SM-M115F</dc:creator>
  <dcterms:created xsi:type="dcterms:W3CDTF">2025-12-07T13:25:56Z</dcterms:created>
  <dcterms:modified xsi:type="dcterms:W3CDTF">2026-04-04T14:06:20Z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eedd9735f29548ee9404378e0ffa424d</vt:lpwstr>
  </property>
</Properties>
</file>